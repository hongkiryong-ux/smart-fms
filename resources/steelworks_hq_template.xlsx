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oscowide1\홍기룡\FMS 자료\"/>
    </mc:Choice>
  </mc:AlternateContent>
  <bookViews>
    <workbookView xWindow="0" yWindow="0" windowWidth="28800" windowHeight="12870" activeTab="1"/>
  </bookViews>
  <sheets>
    <sheet name="전기" sheetId="1" r:id="rId1"/>
    <sheet name="설비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2" l="1"/>
</calcChain>
</file>

<file path=xl/sharedStrings.xml><?xml version="1.0" encoding="utf-8"?>
<sst xmlns="http://schemas.openxmlformats.org/spreadsheetml/2006/main" count="264" uniqueCount="159">
  <si>
    <t>●제철소본부 전기설비 점검일지</t>
    <phoneticPr fontId="4" type="noConversion"/>
  </si>
  <si>
    <t>NO.1 Incomming</t>
    <phoneticPr fontId="8" type="noConversion"/>
  </si>
  <si>
    <t>NO.2 Incomming</t>
    <phoneticPr fontId="8" type="noConversion"/>
  </si>
  <si>
    <r>
      <t>전압</t>
    </r>
    <r>
      <rPr>
        <sz val="9"/>
        <color rgb="FF000000"/>
        <rFont val="굴림체"/>
        <family val="3"/>
        <charset val="129"/>
      </rPr>
      <t>[V]</t>
    </r>
  </si>
  <si>
    <r>
      <t>전류</t>
    </r>
    <r>
      <rPr>
        <sz val="9"/>
        <color rgb="FF000000"/>
        <rFont val="굴림체"/>
        <family val="3"/>
        <charset val="129"/>
      </rPr>
      <t>[A]</t>
    </r>
  </si>
  <si>
    <r>
      <t>유효</t>
    </r>
    <r>
      <rPr>
        <sz val="9"/>
        <color rgb="FF000000"/>
        <rFont val="굴림체"/>
        <family val="3"/>
        <charset val="129"/>
      </rPr>
      <t>[kW]</t>
    </r>
  </si>
  <si>
    <r>
      <t>무효</t>
    </r>
    <r>
      <rPr>
        <sz val="9"/>
        <color rgb="FF000000"/>
        <rFont val="굴림체"/>
        <family val="3"/>
        <charset val="129"/>
      </rPr>
      <t>[kVar]</t>
    </r>
  </si>
  <si>
    <r>
      <t>주파수</t>
    </r>
    <r>
      <rPr>
        <sz val="9"/>
        <color rgb="FF000000"/>
        <rFont val="굴림체"/>
        <family val="3"/>
        <charset val="129"/>
      </rPr>
      <t>[Hz]</t>
    </r>
  </si>
  <si>
    <r>
      <t>역률</t>
    </r>
    <r>
      <rPr>
        <sz val="9"/>
        <color rgb="FF000000"/>
        <rFont val="굴림체"/>
        <family val="3"/>
        <charset val="129"/>
      </rPr>
      <t>[%]</t>
    </r>
  </si>
  <si>
    <t>적산전력량</t>
  </si>
  <si>
    <t>범위</t>
  </si>
  <si>
    <t>6171 ~6765</t>
  </si>
  <si>
    <t>0~1000</t>
    <phoneticPr fontId="4" type="noConversion"/>
  </si>
  <si>
    <t>0 ~1200</t>
  </si>
  <si>
    <t>57~61</t>
  </si>
  <si>
    <t>57 ~61</t>
  </si>
  <si>
    <t>0.8 ~1.0</t>
  </si>
  <si>
    <t>[Mwh]</t>
  </si>
  <si>
    <t>0 ~1000</t>
  </si>
  <si>
    <t>NO.1 Turbo</t>
    <phoneticPr fontId="8" type="noConversion"/>
  </si>
  <si>
    <t>NO.2 Turbo</t>
    <phoneticPr fontId="4" type="noConversion"/>
  </si>
  <si>
    <t>NO.1 300kVA TR</t>
    <phoneticPr fontId="8" type="noConversion"/>
  </si>
  <si>
    <t>백운대</t>
    <phoneticPr fontId="8" type="noConversion"/>
  </si>
  <si>
    <t>NO.3 500kVA TR</t>
    <phoneticPr fontId="8" type="noConversion"/>
  </si>
  <si>
    <t>NO.6 300kVA TR</t>
    <phoneticPr fontId="8" type="noConversion"/>
  </si>
  <si>
    <t xml:space="preserve">적산량 </t>
  </si>
  <si>
    <t>적산량</t>
  </si>
  <si>
    <t>0 ~ 360</t>
  </si>
  <si>
    <t>0 ~ 30</t>
  </si>
  <si>
    <t>× 360</t>
  </si>
  <si>
    <t>0 ~ 480</t>
  </si>
  <si>
    <t>0 ~ 40</t>
  </si>
  <si>
    <t>× 480</t>
  </si>
  <si>
    <t>0 ~ 1200</t>
  </si>
  <si>
    <t>0 ~ 100</t>
  </si>
  <si>
    <t>× 900</t>
  </si>
  <si>
    <t>0 ~ 900</t>
  </si>
  <si>
    <t>0 ~ 75</t>
  </si>
  <si>
    <t>× 1200</t>
  </si>
  <si>
    <t>전용구장</t>
    <phoneticPr fontId="8" type="noConversion"/>
  </si>
  <si>
    <t>NO.4 300kVA TR</t>
    <phoneticPr fontId="8" type="noConversion"/>
  </si>
  <si>
    <t>3동 전기실</t>
    <phoneticPr fontId="8" type="noConversion"/>
  </si>
  <si>
    <t>NO.2 300kVA TR</t>
    <phoneticPr fontId="8" type="noConversion"/>
  </si>
  <si>
    <t>Spare</t>
    <phoneticPr fontId="8" type="noConversion"/>
  </si>
  <si>
    <t>NO.5 400kVA TR</t>
    <phoneticPr fontId="8" type="noConversion"/>
  </si>
  <si>
    <t>0 ~ 1800</t>
  </si>
  <si>
    <t>0 ~ 150</t>
  </si>
  <si>
    <t>× 1800</t>
  </si>
  <si>
    <t>0 ~ 4800</t>
  </si>
  <si>
    <t>0 ~ 400</t>
  </si>
  <si>
    <t>× 4800</t>
  </si>
  <si>
    <t>0 ~ 7200</t>
  </si>
  <si>
    <t>0 ~ 600</t>
  </si>
  <si>
    <t>× 7200</t>
  </si>
  <si>
    <t>0 ~ 50</t>
  </si>
  <si>
    <t>× 600</t>
  </si>
  <si>
    <r>
      <t>HV (</t>
    </r>
    <r>
      <rPr>
        <sz val="11"/>
        <color rgb="FF000000"/>
        <rFont val="맑은 고딕"/>
        <family val="3"/>
        <charset val="129"/>
      </rPr>
      <t>상</t>
    </r>
    <r>
      <rPr>
        <sz val="11"/>
        <color rgb="FF000000"/>
        <rFont val="굴림체"/>
        <family val="3"/>
        <charset val="129"/>
      </rPr>
      <t>) 400kVA</t>
    </r>
  </si>
  <si>
    <r>
      <t>HV 2(</t>
    </r>
    <r>
      <rPr>
        <sz val="11"/>
        <color rgb="FF000000"/>
        <rFont val="맑은 고딕"/>
        <family val="3"/>
        <charset val="129"/>
      </rPr>
      <t>하</t>
    </r>
    <r>
      <rPr>
        <sz val="11"/>
        <color rgb="FF000000"/>
        <rFont val="굴림체"/>
        <family val="3"/>
        <charset val="129"/>
      </rPr>
      <t>) 450kVA</t>
    </r>
  </si>
  <si>
    <r>
      <t>HV 3(</t>
    </r>
    <r>
      <rPr>
        <sz val="11"/>
        <color rgb="FF000000"/>
        <rFont val="맑은 고딕"/>
        <family val="3"/>
        <charset val="129"/>
      </rPr>
      <t>상</t>
    </r>
    <r>
      <rPr>
        <sz val="11"/>
        <color rgb="FF000000"/>
        <rFont val="굴림체"/>
        <family val="3"/>
        <charset val="129"/>
      </rPr>
      <t>) 500kVA</t>
    </r>
  </si>
  <si>
    <r>
      <t xml:space="preserve">TR </t>
    </r>
    <r>
      <rPr>
        <sz val="11"/>
        <color rgb="FF000000"/>
        <rFont val="맑은 고딕"/>
        <family val="3"/>
        <charset val="129"/>
      </rPr>
      <t>온도 점검</t>
    </r>
    <r>
      <rPr>
        <sz val="11"/>
        <color rgb="FF000000"/>
        <rFont val="굴림체"/>
        <family val="3"/>
        <charset val="129"/>
      </rPr>
      <t>(</t>
    </r>
    <r>
      <rPr>
        <sz val="11"/>
        <color rgb="FF000000"/>
        <rFont val="맑은 고딕"/>
        <family val="3"/>
        <charset val="129"/>
      </rPr>
      <t>℃</t>
    </r>
    <r>
      <rPr>
        <sz val="11"/>
        <color rgb="FF000000"/>
        <rFont val="굴림체"/>
        <family val="3"/>
        <charset val="129"/>
      </rPr>
      <t>)</t>
    </r>
  </si>
  <si>
    <t>TR 온도</t>
    <phoneticPr fontId="4" type="noConversion"/>
  </si>
  <si>
    <r>
      <t xml:space="preserve">TR </t>
    </r>
    <r>
      <rPr>
        <sz val="9"/>
        <color rgb="FF000000"/>
        <rFont val="맑은 고딕"/>
        <family val="3"/>
        <charset val="129"/>
      </rPr>
      <t>온도</t>
    </r>
  </si>
  <si>
    <t>NO.1</t>
  </si>
  <si>
    <t>NO.2</t>
  </si>
  <si>
    <t xml:space="preserve">NO.3  </t>
    <phoneticPr fontId="8" type="noConversion"/>
  </si>
  <si>
    <t xml:space="preserve">NO.4 </t>
    <phoneticPr fontId="8" type="noConversion"/>
  </si>
  <si>
    <t xml:space="preserve">NO.5 </t>
    <phoneticPr fontId="8" type="noConversion"/>
  </si>
  <si>
    <t xml:space="preserve">NO.6 </t>
    <phoneticPr fontId="8" type="noConversion"/>
  </si>
  <si>
    <t>[℃]</t>
    <phoneticPr fontId="8" type="noConversion"/>
  </si>
  <si>
    <r>
      <t>[</t>
    </r>
    <r>
      <rPr>
        <sz val="9"/>
        <color rgb="FF000000"/>
        <rFont val="맑은 고딕"/>
        <family val="3"/>
        <charset val="129"/>
      </rPr>
      <t>℃</t>
    </r>
    <r>
      <rPr>
        <sz val="9"/>
        <color rgb="FF000000"/>
        <rFont val="굴림체"/>
        <family val="3"/>
        <charset val="129"/>
      </rPr>
      <t>]</t>
    </r>
    <phoneticPr fontId="8" type="noConversion"/>
  </si>
  <si>
    <r>
      <t>[</t>
    </r>
    <r>
      <rPr>
        <sz val="9"/>
        <color rgb="FF000000"/>
        <rFont val="맑은 고딕"/>
        <family val="3"/>
        <charset val="129"/>
      </rPr>
      <t>℃</t>
    </r>
    <r>
      <rPr>
        <sz val="9"/>
        <color rgb="FF000000"/>
        <rFont val="굴림체"/>
        <family val="3"/>
        <charset val="129"/>
      </rPr>
      <t>]</t>
    </r>
  </si>
  <si>
    <t>300kVA</t>
  </si>
  <si>
    <t>300kVA</t>
    <phoneticPr fontId="4" type="noConversion"/>
  </si>
  <si>
    <t>500kVA</t>
    <phoneticPr fontId="8" type="noConversion"/>
  </si>
  <si>
    <t>300kVA</t>
    <phoneticPr fontId="8" type="noConversion"/>
  </si>
  <si>
    <t>400kVA</t>
    <phoneticPr fontId="8" type="noConversion"/>
  </si>
  <si>
    <t>300kVA</t>
    <phoneticPr fontId="8" type="noConversion"/>
  </si>
  <si>
    <t>●제철소본부 운영일보</t>
    <phoneticPr fontId="4" type="noConversion"/>
  </si>
  <si>
    <r>
      <t xml:space="preserve">1. Utility </t>
    </r>
    <r>
      <rPr>
        <b/>
        <sz val="10"/>
        <color rgb="FF000000"/>
        <rFont val="맑은 고딕"/>
        <family val="3"/>
        <charset val="129"/>
      </rPr>
      <t>사용량</t>
    </r>
    <r>
      <rPr>
        <sz val="10"/>
        <color rgb="FF000000"/>
        <rFont val="굴림체"/>
        <family val="3"/>
        <charset val="129"/>
      </rPr>
      <t xml:space="preserve">                                                                 </t>
    </r>
    <phoneticPr fontId="4" type="noConversion"/>
  </si>
  <si>
    <t>전일지침</t>
  </si>
  <si>
    <t>금일지침</t>
  </si>
  <si>
    <t>일사용량</t>
  </si>
  <si>
    <t>월누계</t>
  </si>
  <si>
    <t>Peak [A]</t>
    <phoneticPr fontId="8" type="noConversion"/>
  </si>
  <si>
    <t>비 고</t>
  </si>
  <si>
    <t>전 력</t>
  </si>
  <si>
    <r>
      <t xml:space="preserve">NO.1 </t>
    </r>
    <r>
      <rPr>
        <sz val="10"/>
        <color rgb="FF000000"/>
        <rFont val="맑은 고딕"/>
        <family val="3"/>
        <charset val="129"/>
      </rPr>
      <t>수전</t>
    </r>
    <r>
      <rPr>
        <sz val="10"/>
        <color rgb="FF000000"/>
        <rFont val="굴림체"/>
        <family val="3"/>
        <charset val="129"/>
      </rPr>
      <t>[Mwh]</t>
    </r>
  </si>
  <si>
    <r>
      <t xml:space="preserve">NO.2 </t>
    </r>
    <r>
      <rPr>
        <sz val="10"/>
        <color rgb="FF000000"/>
        <rFont val="맑은 고딕"/>
        <family val="3"/>
        <charset val="129"/>
      </rPr>
      <t>수전</t>
    </r>
    <r>
      <rPr>
        <sz val="10"/>
        <color rgb="FF000000"/>
        <rFont val="굴림체"/>
        <family val="3"/>
        <charset val="129"/>
      </rPr>
      <t>[Mwh]</t>
    </r>
  </si>
  <si>
    <t>중온수</t>
  </si>
  <si>
    <r>
      <t>열 량</t>
    </r>
    <r>
      <rPr>
        <sz val="10"/>
        <color rgb="FF000000"/>
        <rFont val="굴림체"/>
        <family val="3"/>
        <charset val="129"/>
      </rPr>
      <t>[Mwh]</t>
    </r>
  </si>
  <si>
    <r>
      <t>유 량</t>
    </r>
    <r>
      <rPr>
        <sz val="10"/>
        <color rgb="FF000000"/>
        <rFont val="굴림체"/>
        <family val="3"/>
        <charset val="129"/>
      </rPr>
      <t>[</t>
    </r>
    <r>
      <rPr>
        <sz val="10"/>
        <color rgb="FF000000"/>
        <rFont val="맑은 고딕"/>
        <family val="3"/>
        <charset val="129"/>
      </rPr>
      <t>㎥</t>
    </r>
    <r>
      <rPr>
        <sz val="10"/>
        <color rgb="FF000000"/>
        <rFont val="굴림체"/>
        <family val="3"/>
        <charset val="129"/>
      </rPr>
      <t>]</t>
    </r>
  </si>
  <si>
    <t>급 수</t>
  </si>
  <si>
    <r>
      <t>1</t>
    </r>
    <r>
      <rPr>
        <sz val="10"/>
        <color rgb="FF000000"/>
        <rFont val="맑은 고딕"/>
        <family val="3"/>
        <charset val="129"/>
      </rPr>
      <t>동 고가수조</t>
    </r>
    <r>
      <rPr>
        <sz val="10"/>
        <color rgb="FF000000"/>
        <rFont val="굴림체"/>
        <family val="3"/>
        <charset val="129"/>
      </rPr>
      <t>[</t>
    </r>
    <r>
      <rPr>
        <sz val="10"/>
        <color rgb="FF000000"/>
        <rFont val="맑은 고딕"/>
        <family val="3"/>
        <charset val="129"/>
      </rPr>
      <t>㎥</t>
    </r>
    <r>
      <rPr>
        <sz val="10"/>
        <color rgb="FF000000"/>
        <rFont val="굴림체"/>
        <family val="3"/>
        <charset val="129"/>
      </rPr>
      <t>]</t>
    </r>
  </si>
  <si>
    <r>
      <t>Main[</t>
    </r>
    <r>
      <rPr>
        <sz val="10"/>
        <color rgb="FF000000"/>
        <rFont val="맑은 고딕"/>
        <family val="3"/>
        <charset val="129"/>
      </rPr>
      <t>㎥</t>
    </r>
    <r>
      <rPr>
        <sz val="10"/>
        <color rgb="FF000000"/>
        <rFont val="굴림체"/>
        <family val="3"/>
        <charset val="129"/>
      </rPr>
      <t>]</t>
    </r>
  </si>
  <si>
    <t>2. Utility 점검사항</t>
    <phoneticPr fontId="8" type="noConversion"/>
  </si>
  <si>
    <t>점 검 사 항</t>
  </si>
  <si>
    <t>난방
(동절기)</t>
    <phoneticPr fontId="8" type="noConversion"/>
  </si>
  <si>
    <t>위 치</t>
  </si>
  <si>
    <t>시 간</t>
  </si>
  <si>
    <r>
      <t xml:space="preserve">온 도 </t>
    </r>
    <r>
      <rPr>
        <sz val="10"/>
        <color rgb="FF000000"/>
        <rFont val="굴림체"/>
        <family val="3"/>
        <charset val="129"/>
      </rPr>
      <t>[</t>
    </r>
    <r>
      <rPr>
        <sz val="10"/>
        <color rgb="FF000000"/>
        <rFont val="맑은 고딕"/>
        <family val="3"/>
        <charset val="129"/>
      </rPr>
      <t>℃</t>
    </r>
    <r>
      <rPr>
        <sz val="10"/>
        <color rgb="FF000000"/>
        <rFont val="굴림체"/>
        <family val="3"/>
        <charset val="129"/>
      </rPr>
      <t>]</t>
    </r>
  </si>
  <si>
    <r>
      <t xml:space="preserve">압 력 </t>
    </r>
    <r>
      <rPr>
        <sz val="10"/>
        <color rgb="FF000000"/>
        <rFont val="굴림체"/>
        <family val="3"/>
        <charset val="129"/>
      </rPr>
      <t>[</t>
    </r>
    <r>
      <rPr>
        <sz val="10"/>
        <color rgb="FF000000"/>
        <rFont val="맑은 고딕"/>
        <family val="3"/>
        <charset val="129"/>
      </rPr>
      <t>㎏</t>
    </r>
    <r>
      <rPr>
        <sz val="10"/>
        <color rgb="FF000000"/>
        <rFont val="굴림체"/>
        <family val="3"/>
        <charset val="129"/>
      </rPr>
      <t>/</t>
    </r>
    <r>
      <rPr>
        <sz val="10"/>
        <color rgb="FF000000"/>
        <rFont val="맑은 고딕"/>
        <family val="3"/>
        <charset val="129"/>
      </rPr>
      <t>㎠</t>
    </r>
    <r>
      <rPr>
        <sz val="10"/>
        <color rgb="FF000000"/>
        <rFont val="굴림체"/>
        <family val="3"/>
        <charset val="129"/>
      </rPr>
      <t>]</t>
    </r>
  </si>
  <si>
    <t>급 탕 탱 크</t>
  </si>
  <si>
    <t>공 급</t>
  </si>
  <si>
    <t>환 수</t>
  </si>
  <si>
    <r>
      <t>1</t>
    </r>
    <r>
      <rPr>
        <sz val="10"/>
        <color rgb="FF000000"/>
        <rFont val="맑은 고딕"/>
        <family val="3"/>
        <charset val="129"/>
      </rPr>
      <t>동</t>
    </r>
  </si>
  <si>
    <t>:</t>
  </si>
  <si>
    <r>
      <t>온도</t>
    </r>
    <r>
      <rPr>
        <sz val="10"/>
        <color rgb="FF000000"/>
        <rFont val="굴림체"/>
        <family val="3"/>
        <charset val="129"/>
      </rPr>
      <t>[</t>
    </r>
    <r>
      <rPr>
        <sz val="10"/>
        <color rgb="FF000000"/>
        <rFont val="맑은 고딕"/>
        <family val="3"/>
        <charset val="129"/>
      </rPr>
      <t>℃</t>
    </r>
    <r>
      <rPr>
        <sz val="10"/>
        <color rgb="FF000000"/>
        <rFont val="굴림체"/>
        <family val="3"/>
        <charset val="129"/>
      </rPr>
      <t>]</t>
    </r>
  </si>
  <si>
    <r>
      <t>압력</t>
    </r>
    <r>
      <rPr>
        <sz val="10"/>
        <color rgb="FF000000"/>
        <rFont val="굴림체"/>
        <family val="3"/>
        <charset val="129"/>
      </rPr>
      <t>[</t>
    </r>
    <r>
      <rPr>
        <sz val="10"/>
        <color rgb="FF000000"/>
        <rFont val="맑은 고딕"/>
        <family val="3"/>
        <charset val="129"/>
      </rPr>
      <t>㎏</t>
    </r>
    <r>
      <rPr>
        <sz val="10"/>
        <color rgb="FF000000"/>
        <rFont val="굴림체"/>
        <family val="3"/>
        <charset val="129"/>
      </rPr>
      <t>/</t>
    </r>
    <r>
      <rPr>
        <sz val="10"/>
        <color rgb="FF000000"/>
        <rFont val="맑은 고딕"/>
        <family val="3"/>
        <charset val="129"/>
      </rPr>
      <t>㎠</t>
    </r>
    <r>
      <rPr>
        <sz val="10"/>
        <color rgb="FF000000"/>
        <rFont val="굴림체"/>
        <family val="3"/>
        <charset val="129"/>
      </rPr>
      <t>]</t>
    </r>
  </si>
  <si>
    <r>
      <t>3</t>
    </r>
    <r>
      <rPr>
        <sz val="10"/>
        <color rgb="FF000000"/>
        <rFont val="맑은 고딕"/>
        <family val="3"/>
        <charset val="129"/>
      </rPr>
      <t>동</t>
    </r>
  </si>
  <si>
    <r>
      <t>Tank (4~6</t>
    </r>
    <r>
      <rPr>
        <sz val="10"/>
        <color rgb="FF000000"/>
        <rFont val="맑은 고딕"/>
        <family val="3"/>
        <charset val="129"/>
      </rPr>
      <t>㎏</t>
    </r>
    <r>
      <rPr>
        <sz val="10"/>
        <color rgb="FF000000"/>
        <rFont val="굴림체"/>
        <family val="3"/>
        <charset val="129"/>
      </rPr>
      <t>/</t>
    </r>
    <r>
      <rPr>
        <sz val="10"/>
        <color rgb="FF000000"/>
        <rFont val="맑은 고딕"/>
        <family val="3"/>
        <charset val="129"/>
      </rPr>
      <t>㎠</t>
    </r>
    <r>
      <rPr>
        <sz val="10"/>
        <color rgb="FF000000"/>
        <rFont val="굴림체"/>
        <family val="3"/>
        <charset val="129"/>
      </rPr>
      <t>)</t>
    </r>
  </si>
  <si>
    <r>
      <t>저수조</t>
    </r>
    <r>
      <rPr>
        <sz val="10"/>
        <color rgb="FF000000"/>
        <rFont val="굴림체"/>
        <family val="3"/>
        <charset val="129"/>
      </rPr>
      <t>(80%)</t>
    </r>
  </si>
  <si>
    <t>소화전</t>
  </si>
  <si>
    <t>건강증진팀</t>
  </si>
  <si>
    <t>공조온도
(S/R)</t>
    <phoneticPr fontId="4" type="noConversion"/>
  </si>
  <si>
    <t>AHU-1</t>
  </si>
  <si>
    <t>AHU-2</t>
  </si>
  <si>
    <t>AHU-3</t>
  </si>
  <si>
    <t>AHU-4</t>
  </si>
  <si>
    <t>AHU-5</t>
  </si>
  <si>
    <t>AHU-6</t>
  </si>
  <si>
    <t>외기온도</t>
  </si>
  <si>
    <t>제철소장실 (℃)</t>
    <phoneticPr fontId="8" type="noConversion"/>
  </si>
  <si>
    <t>행정부소장실 (℃)</t>
    <phoneticPr fontId="8" type="noConversion"/>
  </si>
  <si>
    <t>안전환경부소장실</t>
    <phoneticPr fontId="8" type="noConversion"/>
  </si>
  <si>
    <t>환경기획실장실</t>
    <phoneticPr fontId="8" type="noConversion"/>
  </si>
  <si>
    <t>19.2℃</t>
  </si>
  <si>
    <t>25.3℃</t>
  </si>
  <si>
    <t>회장실</t>
  </si>
  <si>
    <t>본부장실</t>
    <phoneticPr fontId="8" type="noConversion"/>
  </si>
  <si>
    <t>대응접실</t>
    <phoneticPr fontId="8" type="noConversion"/>
  </si>
  <si>
    <t>영상회의실</t>
    <phoneticPr fontId="8" type="noConversion"/>
  </si>
  <si>
    <t>3. 냉동기(하절기)</t>
    <phoneticPr fontId="8" type="noConversion"/>
  </si>
  <si>
    <t>압 축 기</t>
  </si>
  <si>
    <t>응 축 기</t>
  </si>
  <si>
    <t>증 발 기</t>
  </si>
  <si>
    <t>냉
동
기</t>
    <phoneticPr fontId="4" type="noConversion"/>
  </si>
  <si>
    <t>단 위</t>
  </si>
  <si>
    <r>
      <t>전압</t>
    </r>
    <r>
      <rPr>
        <sz val="9"/>
        <color rgb="FF000000"/>
        <rFont val="굴림체"/>
        <family val="3"/>
        <charset val="129"/>
      </rPr>
      <t>kV</t>
    </r>
  </si>
  <si>
    <r>
      <t>전류</t>
    </r>
    <r>
      <rPr>
        <sz val="9"/>
        <color rgb="FF000000"/>
        <rFont val="굴림체"/>
        <family val="3"/>
        <charset val="129"/>
      </rPr>
      <t>A</t>
    </r>
  </si>
  <si>
    <t>유압 kgf/㎠</t>
    <phoneticPr fontId="8" type="noConversion"/>
  </si>
  <si>
    <r>
      <t xml:space="preserve">Oil </t>
    </r>
    <r>
      <rPr>
        <sz val="9"/>
        <color rgb="FF000000"/>
        <rFont val="맑은 고딕"/>
        <family val="3"/>
        <charset val="129"/>
      </rPr>
      <t>℃</t>
    </r>
  </si>
  <si>
    <t>Vane %</t>
  </si>
  <si>
    <t>압력</t>
  </si>
  <si>
    <t>입구℃</t>
  </si>
  <si>
    <t>출구℃</t>
  </si>
  <si>
    <r>
      <t>냉매</t>
    </r>
    <r>
      <rPr>
        <sz val="9"/>
        <color rgb="FF000000"/>
        <rFont val="굴림체"/>
        <family val="3"/>
        <charset val="129"/>
      </rPr>
      <t>%</t>
    </r>
  </si>
  <si>
    <t>기준치</t>
  </si>
  <si>
    <t>1.5~2.5</t>
  </si>
  <si>
    <t>50~60</t>
  </si>
  <si>
    <t>260RT
#1</t>
    <phoneticPr fontId="8" type="noConversion"/>
  </si>
  <si>
    <t>260RT
#2</t>
    <phoneticPr fontId="8" type="noConversion"/>
  </si>
  <si>
    <t>80RT</t>
  </si>
  <si>
    <t>300RT</t>
    <phoneticPr fontId="8" type="noConversion"/>
  </si>
  <si>
    <t>IGV %</t>
  </si>
  <si>
    <t>D.P %</t>
  </si>
  <si>
    <r>
      <t>입력</t>
    </r>
    <r>
      <rPr>
        <sz val="9"/>
        <color rgb="FF000000"/>
        <rFont val="굴림체"/>
        <family val="3"/>
        <charset val="129"/>
      </rPr>
      <t>KW</t>
    </r>
  </si>
  <si>
    <t>압력비</t>
  </si>
  <si>
    <t>특이사항</t>
    <phoneticPr fontId="1" type="noConversion"/>
  </si>
  <si>
    <t>특이사항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</si>
</sst>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#,##0&quot; ℃&quot;"/>
    <numFmt numFmtId="177" formatCode="#,##0&quot; [kWh]&quot;"/>
    <numFmt numFmtId="178" formatCode="#,##0&quot; [A]&quot;"/>
    <numFmt numFmtId="179" formatCode="#,##0.00&quot;[Mwh]&quot;"/>
    <numFmt numFmtId="180" formatCode="#,##0.00&quot;[㎥]&quot;"/>
    <numFmt numFmtId="181" formatCode="#,##0&quot;[㎥]&quot;"/>
    <numFmt numFmtId="182" formatCode="#,##0.0&quot; ㎏/㎠&quot;"/>
    <numFmt numFmtId="183" formatCode="#,##0&quot; %&quot;"/>
    <numFmt numFmtId="184" formatCode="00&quot;/&quot;00"/>
    <numFmt numFmtId="185" formatCode="#,##0.0&quot; ℃&quot;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b/>
      <u/>
      <sz val="16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0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13"/>
      <color rgb="FF000000"/>
      <name val="굴림체"/>
      <family val="3"/>
      <charset val="129"/>
    </font>
    <font>
      <sz val="8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b/>
      <sz val="10"/>
      <color rgb="FF000000"/>
      <name val="굴림체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바탕"/>
      <family val="1"/>
      <charset val="129"/>
    </font>
    <font>
      <sz val="9"/>
      <color rgb="FF000000"/>
      <name val="GulimChe"/>
    </font>
    <font>
      <sz val="7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3F3"/>
        <bgColor indexed="64"/>
      </patternFill>
    </fill>
    <fill>
      <patternFill patternType="solid">
        <fgColor rgb="FFEFFDFF"/>
        <bgColor indexed="64"/>
      </patternFill>
    </fill>
  </fills>
  <borders count="36">
    <border>
      <left/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rgb="FF000000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9">
    <xf numFmtId="0" fontId="0" fillId="0" borderId="0" xfId="0">
      <alignment vertical="center"/>
    </xf>
    <xf numFmtId="0" fontId="0" fillId="0" borderId="0" xfId="0" applyAlignment="1"/>
    <xf numFmtId="0" fontId="3" fillId="0" borderId="0" xfId="1" applyFont="1">
      <alignment vertical="center"/>
    </xf>
    <xf numFmtId="0" fontId="2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0" fontId="6" fillId="0" borderId="6" xfId="1" applyFont="1" applyBorder="1" applyAlignment="1">
      <alignment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20" fontId="10" fillId="0" borderId="11" xfId="1" applyNumberFormat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center" vertical="center" wrapText="1"/>
    </xf>
    <xf numFmtId="0" fontId="11" fillId="0" borderId="0" xfId="1" applyFont="1" applyAlignment="1">
      <alignment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3" fillId="0" borderId="7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0" fillId="0" borderId="6" xfId="1" applyFont="1" applyBorder="1" applyAlignment="1">
      <alignment vertical="center" wrapText="1"/>
    </xf>
    <xf numFmtId="0" fontId="12" fillId="0" borderId="12" xfId="1" applyFont="1" applyBorder="1" applyAlignment="1">
      <alignment horizontal="center" vertical="center" wrapText="1"/>
    </xf>
    <xf numFmtId="0" fontId="13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13" fillId="0" borderId="14" xfId="1" applyFont="1" applyBorder="1" applyAlignment="1">
      <alignment horizontal="center" vertical="center" wrapText="1"/>
    </xf>
    <xf numFmtId="0" fontId="13" fillId="0" borderId="15" xfId="1" applyFont="1" applyBorder="1" applyAlignment="1">
      <alignment horizontal="center" vertical="center" wrapText="1"/>
    </xf>
    <xf numFmtId="0" fontId="13" fillId="0" borderId="16" xfId="1" applyFont="1" applyBorder="1" applyAlignment="1">
      <alignment horizontal="center" vertical="center" wrapText="1"/>
    </xf>
    <xf numFmtId="0" fontId="13" fillId="0" borderId="17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3" fillId="0" borderId="18" xfId="1" applyFont="1" applyBorder="1" applyAlignment="1">
      <alignment horizontal="center" vertical="center" wrapText="1"/>
    </xf>
    <xf numFmtId="176" fontId="11" fillId="0" borderId="9" xfId="1" applyNumberFormat="1" applyFont="1" applyBorder="1" applyAlignment="1">
      <alignment horizontal="center" vertical="center" wrapText="1"/>
    </xf>
    <xf numFmtId="20" fontId="10" fillId="0" borderId="19" xfId="1" applyNumberFormat="1" applyFont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center" wrapText="1"/>
    </xf>
    <xf numFmtId="176" fontId="11" fillId="0" borderId="20" xfId="1" applyNumberFormat="1" applyFont="1" applyBorder="1" applyAlignment="1">
      <alignment horizontal="center" vertical="center" wrapText="1"/>
    </xf>
    <xf numFmtId="0" fontId="13" fillId="0" borderId="21" xfId="1" applyFont="1" applyBorder="1" applyAlignment="1">
      <alignment horizontal="center" vertical="center" wrapText="1"/>
    </xf>
    <xf numFmtId="0" fontId="13" fillId="0" borderId="22" xfId="1" applyFont="1" applyBorder="1" applyAlignment="1">
      <alignment horizontal="center" vertical="center" wrapText="1"/>
    </xf>
    <xf numFmtId="0" fontId="13" fillId="0" borderId="23" xfId="1" applyFont="1" applyBorder="1" applyAlignment="1">
      <alignment horizontal="center" vertical="center" wrapText="1"/>
    </xf>
    <xf numFmtId="0" fontId="14" fillId="0" borderId="0" xfId="1" applyFont="1">
      <alignment vertical="center"/>
    </xf>
    <xf numFmtId="0" fontId="3" fillId="0" borderId="0" xfId="1" applyFont="1" applyAlignment="1">
      <alignment horizontal="left" vertical="center"/>
    </xf>
    <xf numFmtId="0" fontId="15" fillId="0" borderId="0" xfId="1" applyFont="1">
      <alignment vertical="center"/>
    </xf>
    <xf numFmtId="0" fontId="16" fillId="0" borderId="0" xfId="1" applyFont="1" applyAlignment="1">
      <alignment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177" fontId="6" fillId="0" borderId="7" xfId="1" applyNumberFormat="1" applyFont="1" applyBorder="1" applyAlignment="1">
      <alignment horizontal="center" vertical="center" wrapText="1"/>
    </xf>
    <xf numFmtId="177" fontId="6" fillId="0" borderId="8" xfId="1" applyNumberFormat="1" applyFont="1" applyBorder="1" applyAlignment="1">
      <alignment horizontal="center" vertical="center" wrapText="1"/>
    </xf>
    <xf numFmtId="178" fontId="6" fillId="0" borderId="7" xfId="1" applyNumberFormat="1" applyFont="1" applyBorder="1" applyAlignment="1">
      <alignment horizontal="center" vertical="center" wrapText="1"/>
    </xf>
    <xf numFmtId="178" fontId="6" fillId="0" borderId="8" xfId="1" applyNumberFormat="1" applyFont="1" applyBorder="1" applyAlignment="1">
      <alignment horizontal="center" vertical="center" wrapText="1"/>
    </xf>
    <xf numFmtId="179" fontId="6" fillId="0" borderId="7" xfId="1" applyNumberFormat="1" applyFont="1" applyBorder="1" applyAlignment="1">
      <alignment horizontal="center" vertical="center" wrapText="1"/>
    </xf>
    <xf numFmtId="179" fontId="6" fillId="0" borderId="8" xfId="1" applyNumberFormat="1" applyFont="1" applyBorder="1" applyAlignment="1">
      <alignment horizontal="center" vertical="center" wrapText="1"/>
    </xf>
    <xf numFmtId="180" fontId="6" fillId="0" borderId="7" xfId="1" applyNumberFormat="1" applyFont="1" applyBorder="1" applyAlignment="1">
      <alignment horizontal="center" vertical="center" wrapText="1"/>
    </xf>
    <xf numFmtId="180" fontId="6" fillId="0" borderId="8" xfId="1" applyNumberFormat="1" applyFont="1" applyBorder="1" applyAlignment="1">
      <alignment horizontal="center" vertical="center" wrapText="1"/>
    </xf>
    <xf numFmtId="181" fontId="6" fillId="0" borderId="7" xfId="1" applyNumberFormat="1" applyFont="1" applyBorder="1" applyAlignment="1">
      <alignment horizontal="center" vertical="center" wrapText="1"/>
    </xf>
    <xf numFmtId="181" fontId="6" fillId="0" borderId="8" xfId="1" applyNumberFormat="1" applyFont="1" applyBorder="1" applyAlignment="1">
      <alignment horizontal="center" vertical="center" wrapText="1"/>
    </xf>
    <xf numFmtId="0" fontId="17" fillId="0" borderId="0" xfId="1" applyFont="1" applyAlignment="1">
      <alignment horizontal="justify" vertical="center"/>
    </xf>
    <xf numFmtId="0" fontId="16" fillId="2" borderId="24" xfId="1" applyFont="1" applyFill="1" applyBorder="1" applyAlignment="1">
      <alignment horizontal="center" vertical="center" wrapText="1"/>
    </xf>
    <xf numFmtId="0" fontId="16" fillId="2" borderId="25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176" fontId="6" fillId="2" borderId="9" xfId="1" applyNumberFormat="1" applyFont="1" applyFill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20" fontId="6" fillId="0" borderId="9" xfId="1" applyNumberFormat="1" applyFont="1" applyBorder="1" applyAlignment="1">
      <alignment horizontal="center" vertical="center" wrapText="1"/>
    </xf>
    <xf numFmtId="0" fontId="16" fillId="0" borderId="24" xfId="1" applyFont="1" applyBorder="1" applyAlignment="1">
      <alignment horizontal="center" vertical="center" wrapText="1"/>
    </xf>
    <xf numFmtId="0" fontId="16" fillId="0" borderId="27" xfId="1" applyFont="1" applyBorder="1" applyAlignment="1">
      <alignment horizontal="center" vertical="center" wrapText="1"/>
    </xf>
    <xf numFmtId="0" fontId="16" fillId="0" borderId="9" xfId="1" applyFont="1" applyBorder="1" applyAlignment="1">
      <alignment vertical="center" wrapText="1"/>
    </xf>
    <xf numFmtId="0" fontId="16" fillId="0" borderId="25" xfId="1" applyFont="1" applyBorder="1" applyAlignment="1">
      <alignment horizontal="center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3" borderId="24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6" fillId="3" borderId="27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6" fillId="3" borderId="24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176" fontId="6" fillId="3" borderId="9" xfId="1" applyNumberFormat="1" applyFont="1" applyFill="1" applyBorder="1" applyAlignment="1">
      <alignment horizontal="center" vertical="center" wrapText="1"/>
    </xf>
    <xf numFmtId="183" fontId="6" fillId="3" borderId="9" xfId="1" applyNumberFormat="1" applyFont="1" applyFill="1" applyBorder="1" applyAlignment="1">
      <alignment horizontal="center" vertical="center" wrapText="1"/>
    </xf>
    <xf numFmtId="0" fontId="6" fillId="3" borderId="25" xfId="1" applyFont="1" applyFill="1" applyBorder="1" applyAlignment="1">
      <alignment horizontal="center" vertical="center" wrapText="1"/>
    </xf>
    <xf numFmtId="20" fontId="18" fillId="3" borderId="9" xfId="1" applyNumberFormat="1" applyFont="1" applyFill="1" applyBorder="1" applyAlignment="1">
      <alignment horizontal="center" vertical="center" wrapText="1"/>
    </xf>
    <xf numFmtId="20" fontId="10" fillId="3" borderId="9" xfId="1" applyNumberFormat="1" applyFont="1" applyFill="1" applyBorder="1" applyAlignment="1">
      <alignment horizontal="center" vertical="center" wrapText="1"/>
    </xf>
    <xf numFmtId="0" fontId="6" fillId="3" borderId="27" xfId="1" applyFont="1" applyFill="1" applyBorder="1" applyAlignment="1">
      <alignment horizontal="center" vertical="center" wrapText="1"/>
    </xf>
    <xf numFmtId="0" fontId="19" fillId="3" borderId="9" xfId="1" applyFont="1" applyFill="1" applyBorder="1" applyAlignment="1">
      <alignment horizontal="center" vertical="center" wrapText="1"/>
    </xf>
    <xf numFmtId="0" fontId="16" fillId="3" borderId="25" xfId="1" applyFont="1" applyFill="1" applyBorder="1" applyAlignment="1">
      <alignment horizontal="center" vertical="center" wrapText="1"/>
    </xf>
    <xf numFmtId="0" fontId="2" fillId="0" borderId="7" xfId="1" applyFont="1" applyBorder="1" applyAlignment="1">
      <alignment horizontal="left" vertical="top"/>
    </xf>
    <xf numFmtId="0" fontId="2" fillId="0" borderId="12" xfId="1" applyFont="1" applyBorder="1" applyAlignment="1">
      <alignment horizontal="left" vertical="top"/>
    </xf>
    <xf numFmtId="0" fontId="2" fillId="0" borderId="8" xfId="1" applyFont="1" applyBorder="1" applyAlignment="1">
      <alignment horizontal="left" vertical="top"/>
    </xf>
    <xf numFmtId="0" fontId="15" fillId="0" borderId="28" xfId="1" applyFont="1" applyBorder="1" applyAlignment="1">
      <alignment horizontal="left" vertical="center"/>
    </xf>
    <xf numFmtId="0" fontId="15" fillId="0" borderId="28" xfId="1" applyFont="1" applyBorder="1" applyAlignment="1">
      <alignment horizontal="left"/>
    </xf>
    <xf numFmtId="185" fontId="16" fillId="0" borderId="7" xfId="1" applyNumberFormat="1" applyFont="1" applyBorder="1" applyAlignment="1">
      <alignment horizontal="center" vertical="center" wrapText="1"/>
    </xf>
    <xf numFmtId="185" fontId="16" fillId="0" borderId="12" xfId="1" applyNumberFormat="1" applyFont="1" applyBorder="1" applyAlignment="1">
      <alignment horizontal="center" vertical="center" wrapText="1"/>
    </xf>
    <xf numFmtId="185" fontId="16" fillId="0" borderId="8" xfId="1" applyNumberFormat="1" applyFont="1" applyBorder="1" applyAlignment="1">
      <alignment horizontal="center" vertical="center" wrapText="1"/>
    </xf>
    <xf numFmtId="184" fontId="6" fillId="0" borderId="7" xfId="1" applyNumberFormat="1" applyFont="1" applyBorder="1" applyAlignment="1">
      <alignment horizontal="center" vertical="center" wrapText="1"/>
    </xf>
    <xf numFmtId="184" fontId="6" fillId="0" borderId="8" xfId="1" applyNumberFormat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 wrapText="1"/>
    </xf>
    <xf numFmtId="0" fontId="16" fillId="0" borderId="31" xfId="1" applyFont="1" applyBorder="1" applyAlignment="1">
      <alignment horizontal="center" vertical="center" wrapText="1"/>
    </xf>
    <xf numFmtId="0" fontId="16" fillId="0" borderId="32" xfId="1" applyFont="1" applyBorder="1" applyAlignment="1">
      <alignment horizontal="center" vertical="center" wrapText="1"/>
    </xf>
    <xf numFmtId="183" fontId="6" fillId="0" borderId="7" xfId="1" applyNumberFormat="1" applyFont="1" applyBorder="1" applyAlignment="1">
      <alignment horizontal="center" vertical="center" wrapText="1"/>
    </xf>
    <xf numFmtId="183" fontId="6" fillId="0" borderId="12" xfId="1" applyNumberFormat="1" applyFont="1" applyBorder="1" applyAlignment="1">
      <alignment horizontal="center" vertical="center" wrapText="1"/>
    </xf>
    <xf numFmtId="183" fontId="6" fillId="0" borderId="8" xfId="1" applyNumberFormat="1" applyFont="1" applyBorder="1" applyAlignment="1">
      <alignment horizontal="center" vertical="center" wrapText="1"/>
    </xf>
    <xf numFmtId="182" fontId="6" fillId="0" borderId="7" xfId="1" applyNumberFormat="1" applyFont="1" applyBorder="1" applyAlignment="1">
      <alignment horizontal="center" vertical="center" wrapText="1"/>
    </xf>
    <xf numFmtId="182" fontId="6" fillId="0" borderId="12" xfId="1" applyNumberFormat="1" applyFont="1" applyBorder="1" applyAlignment="1">
      <alignment horizontal="center" vertical="center" wrapText="1"/>
    </xf>
    <xf numFmtId="182" fontId="6" fillId="0" borderId="8" xfId="1" applyNumberFormat="1" applyFont="1" applyBorder="1" applyAlignment="1">
      <alignment horizontal="center" vertical="center" wrapText="1"/>
    </xf>
    <xf numFmtId="182" fontId="6" fillId="0" borderId="14" xfId="1" applyNumberFormat="1" applyFont="1" applyBorder="1" applyAlignment="1">
      <alignment horizontal="center" vertical="center" wrapText="1"/>
    </xf>
    <xf numFmtId="182" fontId="6" fillId="0" borderId="29" xfId="1" applyNumberFormat="1" applyFont="1" applyBorder="1" applyAlignment="1">
      <alignment horizontal="center" vertical="center" wrapText="1"/>
    </xf>
    <xf numFmtId="182" fontId="6" fillId="0" borderId="31" xfId="1" applyNumberFormat="1" applyFont="1" applyBorder="1" applyAlignment="1">
      <alignment horizontal="center" vertical="center" wrapText="1"/>
    </xf>
    <xf numFmtId="182" fontId="6" fillId="0" borderId="32" xfId="1" applyNumberFormat="1" applyFont="1" applyBorder="1" applyAlignment="1">
      <alignment horizontal="center" vertical="center" wrapText="1"/>
    </xf>
    <xf numFmtId="176" fontId="6" fillId="0" borderId="24" xfId="1" applyNumberFormat="1" applyFont="1" applyBorder="1" applyAlignment="1">
      <alignment horizontal="center" vertical="center" wrapText="1"/>
    </xf>
    <xf numFmtId="176" fontId="6" fillId="0" borderId="25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176" fontId="6" fillId="2" borderId="7" xfId="1" applyNumberFormat="1" applyFont="1" applyFill="1" applyBorder="1" applyAlignment="1">
      <alignment horizontal="center" vertical="center" wrapText="1"/>
    </xf>
    <xf numFmtId="176" fontId="6" fillId="2" borderId="8" xfId="1" applyNumberFormat="1" applyFont="1" applyFill="1" applyBorder="1" applyAlignment="1">
      <alignment horizontal="center" vertical="center" wrapText="1"/>
    </xf>
    <xf numFmtId="0" fontId="16" fillId="2" borderId="7" xfId="1" applyFont="1" applyFill="1" applyBorder="1" applyAlignment="1">
      <alignment horizontal="center" vertical="center" wrapText="1"/>
    </xf>
    <xf numFmtId="0" fontId="16" fillId="2" borderId="8" xfId="1" applyFont="1" applyFill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2" borderId="12" xfId="1" applyFont="1" applyFill="1" applyBorder="1" applyAlignment="1">
      <alignment horizontal="center" vertical="center" wrapText="1"/>
    </xf>
    <xf numFmtId="0" fontId="16" fillId="2" borderId="27" xfId="1" applyFont="1" applyFill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6" fillId="0" borderId="34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center" vertical="center" wrapText="1"/>
    </xf>
  </cellXfs>
  <cellStyles count="2">
    <cellStyle name="표준" xfId="0" builtinId="0"/>
    <cellStyle name="표준 3" xfId="1"/>
  </cellStyles>
  <dxfs count="23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5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b/>
        <i val="0"/>
        <color theme="0"/>
      </font>
      <fill>
        <patternFill patternType="solid"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 patternType="solid"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 patternType="solid">
          <bgColor rgb="FF00B0F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S33"/>
  <sheetViews>
    <sheetView workbookViewId="0">
      <selection activeCell="D30" sqref="D30"/>
    </sheetView>
  </sheetViews>
  <sheetFormatPr defaultRowHeight="16.5"/>
  <sheetData>
    <row r="2" spans="2:45" s="1" customFormat="1" ht="22.5" customHeight="1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spans="2:45" s="1" customFormat="1" ht="7.5" customHeight="1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2:45" s="1" customFormat="1" ht="15.75" customHeight="1">
      <c r="B4" s="6"/>
      <c r="C4" s="7" t="s">
        <v>1</v>
      </c>
      <c r="D4" s="8"/>
      <c r="E4" s="8"/>
      <c r="F4" s="8"/>
      <c r="G4" s="8"/>
      <c r="H4" s="8"/>
      <c r="I4" s="8"/>
      <c r="J4" s="8"/>
      <c r="K4" s="9"/>
      <c r="L4" s="7" t="s">
        <v>2</v>
      </c>
      <c r="M4" s="8"/>
      <c r="N4" s="8"/>
      <c r="O4" s="8"/>
      <c r="P4" s="8"/>
      <c r="Q4" s="8"/>
      <c r="R4" s="8"/>
      <c r="S4" s="8"/>
      <c r="T4" s="10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</row>
    <row r="5" spans="2:45" s="1" customFormat="1" ht="15.75" customHeight="1">
      <c r="B5" s="12"/>
      <c r="C5" s="13" t="s">
        <v>3</v>
      </c>
      <c r="D5" s="14"/>
      <c r="E5" s="15" t="s">
        <v>4</v>
      </c>
      <c r="F5" s="15" t="s">
        <v>5</v>
      </c>
      <c r="G5" s="15" t="s">
        <v>6</v>
      </c>
      <c r="H5" s="15" t="s">
        <v>7</v>
      </c>
      <c r="I5" s="15" t="s">
        <v>8</v>
      </c>
      <c r="J5" s="13" t="s">
        <v>9</v>
      </c>
      <c r="K5" s="14"/>
      <c r="L5" s="13" t="s">
        <v>3</v>
      </c>
      <c r="M5" s="14"/>
      <c r="N5" s="15" t="s">
        <v>4</v>
      </c>
      <c r="O5" s="15" t="s">
        <v>5</v>
      </c>
      <c r="P5" s="15" t="s">
        <v>6</v>
      </c>
      <c r="Q5" s="15" t="s">
        <v>7</v>
      </c>
      <c r="R5" s="15" t="s">
        <v>8</v>
      </c>
      <c r="S5" s="13" t="s">
        <v>9</v>
      </c>
      <c r="T5" s="16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7"/>
      <c r="AJ5" s="17"/>
      <c r="AK5" s="17"/>
      <c r="AL5" s="17"/>
      <c r="AM5" s="17"/>
      <c r="AN5" s="17"/>
      <c r="AO5" s="17"/>
      <c r="AP5" s="17"/>
      <c r="AQ5" s="18"/>
      <c r="AR5" s="19"/>
      <c r="AS5" s="19"/>
    </row>
    <row r="6" spans="2:45" s="1" customFormat="1" ht="15.75" customHeight="1">
      <c r="B6" s="20" t="s">
        <v>10</v>
      </c>
      <c r="C6" s="21" t="s">
        <v>11</v>
      </c>
      <c r="D6" s="22"/>
      <c r="E6" s="23" t="s">
        <v>12</v>
      </c>
      <c r="F6" s="23" t="s">
        <v>13</v>
      </c>
      <c r="G6" s="23" t="s">
        <v>14</v>
      </c>
      <c r="H6" s="23" t="s">
        <v>15</v>
      </c>
      <c r="I6" s="23" t="s">
        <v>16</v>
      </c>
      <c r="J6" s="21" t="s">
        <v>17</v>
      </c>
      <c r="K6" s="22"/>
      <c r="L6" s="21" t="s">
        <v>11</v>
      </c>
      <c r="M6" s="22"/>
      <c r="N6" s="23" t="s">
        <v>18</v>
      </c>
      <c r="O6" s="23" t="s">
        <v>13</v>
      </c>
      <c r="P6" s="23" t="s">
        <v>15</v>
      </c>
      <c r="Q6" s="23" t="s">
        <v>15</v>
      </c>
      <c r="R6" s="23" t="s">
        <v>16</v>
      </c>
      <c r="S6" s="21" t="s">
        <v>17</v>
      </c>
      <c r="T6" s="2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25"/>
      <c r="AJ6" s="25"/>
      <c r="AK6" s="25"/>
      <c r="AL6" s="25"/>
      <c r="AM6" s="25"/>
      <c r="AN6" s="25"/>
      <c r="AO6" s="25"/>
      <c r="AP6" s="25"/>
      <c r="AQ6" s="18"/>
      <c r="AR6" s="26"/>
      <c r="AS6" s="26"/>
    </row>
    <row r="7" spans="2:45" s="1" customFormat="1" ht="15.75" customHeight="1">
      <c r="B7" s="27">
        <v>0.25</v>
      </c>
      <c r="C7" s="28"/>
      <c r="D7" s="29"/>
      <c r="E7" s="30"/>
      <c r="F7" s="30"/>
      <c r="G7" s="30"/>
      <c r="H7" s="30"/>
      <c r="I7" s="30"/>
      <c r="J7" s="28"/>
      <c r="K7" s="29"/>
      <c r="L7" s="28"/>
      <c r="M7" s="29"/>
      <c r="N7" s="30"/>
      <c r="O7" s="30"/>
      <c r="P7" s="30"/>
      <c r="Q7" s="30"/>
      <c r="R7" s="30"/>
      <c r="S7" s="28"/>
      <c r="T7" s="3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32"/>
      <c r="AJ7" s="32"/>
      <c r="AK7" s="32"/>
      <c r="AL7" s="32"/>
      <c r="AM7" s="32"/>
      <c r="AN7" s="32"/>
      <c r="AO7" s="32"/>
      <c r="AP7" s="32"/>
      <c r="AR7" s="32"/>
      <c r="AS7" s="32"/>
    </row>
    <row r="8" spans="2:45" s="1" customFormat="1" ht="15.75" customHeight="1">
      <c r="B8" s="27">
        <v>0.41666666666666669</v>
      </c>
      <c r="C8" s="28"/>
      <c r="D8" s="29"/>
      <c r="E8" s="30"/>
      <c r="F8" s="30"/>
      <c r="G8" s="30"/>
      <c r="H8" s="30"/>
      <c r="I8" s="30"/>
      <c r="J8" s="28"/>
      <c r="K8" s="29"/>
      <c r="L8" s="28"/>
      <c r="M8" s="29"/>
      <c r="N8" s="30"/>
      <c r="O8" s="30"/>
      <c r="P8" s="30"/>
      <c r="Q8" s="30"/>
      <c r="R8" s="30"/>
      <c r="S8" s="28"/>
      <c r="T8" s="31"/>
    </row>
    <row r="9" spans="2:45" s="1" customFormat="1" ht="15.75" customHeight="1">
      <c r="B9" s="27">
        <v>0.58333333333333337</v>
      </c>
      <c r="C9" s="28"/>
      <c r="D9" s="29"/>
      <c r="E9" s="30"/>
      <c r="F9" s="30"/>
      <c r="G9" s="30"/>
      <c r="H9" s="30"/>
      <c r="I9" s="30"/>
      <c r="J9" s="28"/>
      <c r="K9" s="29"/>
      <c r="L9" s="28"/>
      <c r="M9" s="29"/>
      <c r="N9" s="30"/>
      <c r="O9" s="30"/>
      <c r="P9" s="30"/>
      <c r="Q9" s="30"/>
      <c r="R9" s="30"/>
      <c r="S9" s="28"/>
      <c r="T9" s="31"/>
    </row>
    <row r="10" spans="2:45" s="1" customFormat="1" ht="15.75" customHeight="1">
      <c r="B10" s="27">
        <v>0.75</v>
      </c>
      <c r="C10" s="28"/>
      <c r="D10" s="29"/>
      <c r="E10" s="30"/>
      <c r="F10" s="30"/>
      <c r="G10" s="30"/>
      <c r="H10" s="30"/>
      <c r="I10" s="30"/>
      <c r="J10" s="28"/>
      <c r="K10" s="29"/>
      <c r="L10" s="28"/>
      <c r="M10" s="29"/>
      <c r="N10" s="30"/>
      <c r="O10" s="30"/>
      <c r="P10" s="30"/>
      <c r="Q10" s="30"/>
      <c r="R10" s="30"/>
      <c r="S10" s="28"/>
      <c r="T10" s="31"/>
    </row>
    <row r="11" spans="2:45" s="1" customFormat="1" ht="15.75" customHeight="1">
      <c r="B11" s="27">
        <v>0.91666666666666663</v>
      </c>
      <c r="C11" s="33"/>
      <c r="D11" s="34"/>
      <c r="E11" s="35"/>
      <c r="F11" s="35"/>
      <c r="G11" s="35"/>
      <c r="H11" s="35"/>
      <c r="I11" s="35"/>
      <c r="J11" s="33"/>
      <c r="K11" s="34"/>
      <c r="L11" s="36"/>
      <c r="M11" s="37"/>
      <c r="N11" s="38"/>
      <c r="O11" s="35"/>
      <c r="P11" s="35"/>
      <c r="Q11" s="35"/>
      <c r="R11" s="35"/>
      <c r="S11" s="33"/>
      <c r="T11" s="39"/>
    </row>
    <row r="12" spans="2:45" s="1" customFormat="1" ht="15.75" customHeight="1">
      <c r="B12" s="40"/>
      <c r="C12" s="33" t="s">
        <v>19</v>
      </c>
      <c r="D12" s="41"/>
      <c r="E12" s="34"/>
      <c r="F12" s="33" t="s">
        <v>20</v>
      </c>
      <c r="G12" s="41"/>
      <c r="H12" s="34"/>
      <c r="I12" s="33" t="s">
        <v>21</v>
      </c>
      <c r="J12" s="41"/>
      <c r="K12" s="34"/>
      <c r="L12" s="36" t="s">
        <v>22</v>
      </c>
      <c r="M12" s="42"/>
      <c r="N12" s="37"/>
      <c r="O12" s="33" t="s">
        <v>23</v>
      </c>
      <c r="P12" s="41"/>
      <c r="Q12" s="34"/>
      <c r="R12" s="33" t="s">
        <v>24</v>
      </c>
      <c r="S12" s="41"/>
      <c r="T12" s="39"/>
    </row>
    <row r="13" spans="2:45" s="1" customFormat="1" ht="15.75" customHeight="1">
      <c r="B13" s="40"/>
      <c r="C13" s="15" t="s">
        <v>5</v>
      </c>
      <c r="D13" s="15" t="s">
        <v>4</v>
      </c>
      <c r="E13" s="15" t="s">
        <v>25</v>
      </c>
      <c r="F13" s="15" t="s">
        <v>5</v>
      </c>
      <c r="G13" s="15" t="s">
        <v>4</v>
      </c>
      <c r="H13" s="15" t="s">
        <v>26</v>
      </c>
      <c r="I13" s="15" t="s">
        <v>5</v>
      </c>
      <c r="J13" s="15" t="s">
        <v>4</v>
      </c>
      <c r="K13" s="15" t="s">
        <v>25</v>
      </c>
      <c r="L13" s="15" t="s">
        <v>5</v>
      </c>
      <c r="M13" s="15" t="s">
        <v>4</v>
      </c>
      <c r="N13" s="15" t="s">
        <v>26</v>
      </c>
      <c r="O13" s="15" t="s">
        <v>5</v>
      </c>
      <c r="P13" s="15" t="s">
        <v>4</v>
      </c>
      <c r="Q13" s="15" t="s">
        <v>26</v>
      </c>
      <c r="R13" s="15" t="s">
        <v>5</v>
      </c>
      <c r="S13" s="15" t="s">
        <v>4</v>
      </c>
      <c r="T13" s="43" t="s">
        <v>26</v>
      </c>
    </row>
    <row r="14" spans="2:45" s="1" customFormat="1" ht="15.75" customHeight="1">
      <c r="B14" s="20" t="s">
        <v>10</v>
      </c>
      <c r="C14" s="23" t="s">
        <v>27</v>
      </c>
      <c r="D14" s="23" t="s">
        <v>28</v>
      </c>
      <c r="E14" s="23" t="s">
        <v>29</v>
      </c>
      <c r="F14" s="23" t="s">
        <v>27</v>
      </c>
      <c r="G14" s="23" t="s">
        <v>28</v>
      </c>
      <c r="H14" s="23" t="s">
        <v>29</v>
      </c>
      <c r="I14" s="23" t="s">
        <v>30</v>
      </c>
      <c r="J14" s="23" t="s">
        <v>31</v>
      </c>
      <c r="K14" s="23" t="s">
        <v>32</v>
      </c>
      <c r="L14" s="23" t="s">
        <v>33</v>
      </c>
      <c r="M14" s="23" t="s">
        <v>34</v>
      </c>
      <c r="N14" s="23" t="s">
        <v>35</v>
      </c>
      <c r="O14" s="23" t="s">
        <v>36</v>
      </c>
      <c r="P14" s="23" t="s">
        <v>37</v>
      </c>
      <c r="Q14" s="23" t="s">
        <v>35</v>
      </c>
      <c r="R14" s="23" t="s">
        <v>33</v>
      </c>
      <c r="S14" s="23" t="s">
        <v>34</v>
      </c>
      <c r="T14" s="44" t="s">
        <v>38</v>
      </c>
    </row>
    <row r="15" spans="2:45" s="1" customFormat="1" ht="15.75" customHeight="1">
      <c r="B15" s="27">
        <v>0.25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45"/>
    </row>
    <row r="16" spans="2:45" s="1" customFormat="1" ht="15.75" customHeight="1">
      <c r="B16" s="27">
        <v>0.41666666666666669</v>
      </c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45"/>
    </row>
    <row r="17" spans="2:20" s="1" customFormat="1" ht="15.75" customHeight="1">
      <c r="B17" s="27">
        <v>0.58333333333333337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45"/>
    </row>
    <row r="18" spans="2:20" s="1" customFormat="1" ht="15" customHeight="1">
      <c r="B18" s="27">
        <v>0.75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45"/>
    </row>
    <row r="19" spans="2:20" s="1" customFormat="1" ht="15.75" customHeight="1">
      <c r="B19" s="27">
        <v>0.91666666666666663</v>
      </c>
      <c r="C19" s="38"/>
      <c r="D19" s="38"/>
      <c r="E19" s="38"/>
      <c r="F19" s="38"/>
      <c r="G19" s="38"/>
      <c r="H19" s="38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46"/>
    </row>
    <row r="20" spans="2:20" s="1" customFormat="1" ht="15.75" customHeight="1">
      <c r="B20" s="40"/>
      <c r="C20" s="36" t="s">
        <v>41</v>
      </c>
      <c r="D20" s="42"/>
      <c r="E20" s="37"/>
      <c r="F20" s="36" t="s">
        <v>39</v>
      </c>
      <c r="G20" s="42"/>
      <c r="H20" s="37"/>
      <c r="I20" s="33" t="s">
        <v>42</v>
      </c>
      <c r="J20" s="41"/>
      <c r="K20" s="34"/>
      <c r="L20" s="33" t="s">
        <v>43</v>
      </c>
      <c r="M20" s="41"/>
      <c r="N20" s="34"/>
      <c r="O20" s="33" t="s">
        <v>40</v>
      </c>
      <c r="P20" s="41"/>
      <c r="Q20" s="34"/>
      <c r="R20" s="33" t="s">
        <v>44</v>
      </c>
      <c r="S20" s="41"/>
      <c r="T20" s="39"/>
    </row>
    <row r="21" spans="2:20" s="1" customFormat="1" ht="15.75" customHeight="1">
      <c r="B21" s="40"/>
      <c r="C21" s="15" t="s">
        <v>5</v>
      </c>
      <c r="D21" s="15" t="s">
        <v>4</v>
      </c>
      <c r="E21" s="15" t="s">
        <v>25</v>
      </c>
      <c r="F21" s="15" t="s">
        <v>5</v>
      </c>
      <c r="G21" s="15" t="s">
        <v>4</v>
      </c>
      <c r="H21" s="15" t="s">
        <v>26</v>
      </c>
      <c r="I21" s="15" t="s">
        <v>5</v>
      </c>
      <c r="J21" s="15" t="s">
        <v>4</v>
      </c>
      <c r="K21" s="15" t="s">
        <v>25</v>
      </c>
      <c r="L21" s="15" t="s">
        <v>5</v>
      </c>
      <c r="M21" s="15" t="s">
        <v>4</v>
      </c>
      <c r="N21" s="15" t="s">
        <v>26</v>
      </c>
      <c r="O21" s="15" t="s">
        <v>5</v>
      </c>
      <c r="P21" s="15" t="s">
        <v>4</v>
      </c>
      <c r="Q21" s="15" t="s">
        <v>26</v>
      </c>
      <c r="R21" s="15" t="s">
        <v>5</v>
      </c>
      <c r="S21" s="15" t="s">
        <v>4</v>
      </c>
      <c r="T21" s="43" t="s">
        <v>26</v>
      </c>
    </row>
    <row r="22" spans="2:20" s="1" customFormat="1" ht="15.75" customHeight="1">
      <c r="B22" s="20" t="s">
        <v>10</v>
      </c>
      <c r="C22" s="23" t="s">
        <v>45</v>
      </c>
      <c r="D22" s="23" t="s">
        <v>46</v>
      </c>
      <c r="E22" s="23" t="s">
        <v>47</v>
      </c>
      <c r="F22" s="23" t="s">
        <v>48</v>
      </c>
      <c r="G22" s="23" t="s">
        <v>49</v>
      </c>
      <c r="H22" s="23" t="s">
        <v>50</v>
      </c>
      <c r="I22" s="23" t="s">
        <v>30</v>
      </c>
      <c r="J22" s="23" t="s">
        <v>31</v>
      </c>
      <c r="K22" s="23" t="s">
        <v>32</v>
      </c>
      <c r="L22" s="23" t="s">
        <v>51</v>
      </c>
      <c r="M22" s="23" t="s">
        <v>52</v>
      </c>
      <c r="N22" s="23" t="s">
        <v>53</v>
      </c>
      <c r="O22" s="23" t="s">
        <v>30</v>
      </c>
      <c r="P22" s="23" t="s">
        <v>31</v>
      </c>
      <c r="Q22" s="23" t="s">
        <v>32</v>
      </c>
      <c r="R22" s="23" t="s">
        <v>52</v>
      </c>
      <c r="S22" s="23" t="s">
        <v>54</v>
      </c>
      <c r="T22" s="44" t="s">
        <v>55</v>
      </c>
    </row>
    <row r="23" spans="2:20" s="1" customFormat="1" ht="15" customHeight="1">
      <c r="B23" s="27">
        <v>0.25</v>
      </c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45"/>
    </row>
    <row r="24" spans="2:20" s="1" customFormat="1" ht="15" customHeight="1">
      <c r="B24" s="27">
        <v>0.41666666666666669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45"/>
    </row>
    <row r="25" spans="2:20" s="1" customFormat="1" ht="15" customHeight="1">
      <c r="B25" s="27">
        <v>0.58333333333333337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45"/>
    </row>
    <row r="26" spans="2:20" s="1" customFormat="1" ht="15" customHeight="1">
      <c r="B26" s="27">
        <v>0.75</v>
      </c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45"/>
    </row>
    <row r="27" spans="2:20" s="1" customFormat="1" ht="15" customHeight="1">
      <c r="B27" s="27">
        <v>0.91666666666666663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8"/>
      <c r="S27" s="38"/>
      <c r="T27" s="47"/>
    </row>
    <row r="28" spans="2:20" s="1" customFormat="1" ht="15.75" customHeight="1">
      <c r="B28" s="40"/>
      <c r="C28" s="33" t="s">
        <v>56</v>
      </c>
      <c r="D28" s="41"/>
      <c r="E28" s="34"/>
      <c r="F28" s="33" t="s">
        <v>57</v>
      </c>
      <c r="G28" s="41"/>
      <c r="H28" s="34"/>
      <c r="I28" s="33" t="s">
        <v>58</v>
      </c>
      <c r="J28" s="41"/>
      <c r="K28" s="34"/>
      <c r="L28" s="33" t="s">
        <v>59</v>
      </c>
      <c r="M28" s="41"/>
      <c r="N28" s="41"/>
      <c r="O28" s="41"/>
      <c r="P28" s="41"/>
      <c r="Q28" s="34"/>
      <c r="R28" s="36" t="s">
        <v>157</v>
      </c>
      <c r="S28" s="42"/>
      <c r="T28" s="48"/>
    </row>
    <row r="29" spans="2:20" s="1" customFormat="1" ht="15.75" customHeight="1">
      <c r="B29" s="40"/>
      <c r="C29" s="15" t="s">
        <v>5</v>
      </c>
      <c r="D29" s="15" t="s">
        <v>4</v>
      </c>
      <c r="E29" s="15" t="s">
        <v>60</v>
      </c>
      <c r="F29" s="15" t="s">
        <v>5</v>
      </c>
      <c r="G29" s="15" t="s">
        <v>4</v>
      </c>
      <c r="H29" s="23" t="s">
        <v>61</v>
      </c>
      <c r="I29" s="15" t="s">
        <v>5</v>
      </c>
      <c r="J29" s="15" t="s">
        <v>4</v>
      </c>
      <c r="K29" s="23" t="s">
        <v>61</v>
      </c>
      <c r="L29" s="49" t="s">
        <v>62</v>
      </c>
      <c r="M29" s="49" t="s">
        <v>63</v>
      </c>
      <c r="N29" s="49" t="s">
        <v>64</v>
      </c>
      <c r="O29" s="49" t="s">
        <v>65</v>
      </c>
      <c r="P29" s="49" t="s">
        <v>66</v>
      </c>
      <c r="Q29" s="49" t="s">
        <v>67</v>
      </c>
      <c r="R29" s="50"/>
      <c r="S29" s="51"/>
      <c r="T29" s="52"/>
    </row>
    <row r="30" spans="2:20" s="1" customFormat="1" ht="15.75" customHeight="1">
      <c r="B30" s="20" t="s">
        <v>10</v>
      </c>
      <c r="C30" s="23" t="s">
        <v>45</v>
      </c>
      <c r="D30" s="23" t="s">
        <v>46</v>
      </c>
      <c r="E30" s="23" t="s">
        <v>68</v>
      </c>
      <c r="F30" s="23" t="s">
        <v>48</v>
      </c>
      <c r="G30" s="23" t="s">
        <v>49</v>
      </c>
      <c r="H30" s="23" t="s">
        <v>69</v>
      </c>
      <c r="I30" s="23" t="s">
        <v>30</v>
      </c>
      <c r="J30" s="23" t="s">
        <v>31</v>
      </c>
      <c r="K30" s="23" t="s">
        <v>70</v>
      </c>
      <c r="L30" s="49" t="s">
        <v>71</v>
      </c>
      <c r="M30" s="49" t="s">
        <v>72</v>
      </c>
      <c r="N30" s="49" t="s">
        <v>73</v>
      </c>
      <c r="O30" s="49" t="s">
        <v>74</v>
      </c>
      <c r="P30" s="49" t="s">
        <v>75</v>
      </c>
      <c r="Q30" s="49" t="s">
        <v>76</v>
      </c>
      <c r="R30" s="53"/>
      <c r="S30" s="54"/>
      <c r="T30" s="55"/>
    </row>
    <row r="31" spans="2:20" s="1" customFormat="1" ht="15.75" customHeight="1">
      <c r="B31" s="27">
        <v>0.41666666666666669</v>
      </c>
      <c r="C31" s="30"/>
      <c r="D31" s="30"/>
      <c r="E31" s="56"/>
      <c r="F31" s="30"/>
      <c r="G31" s="30"/>
      <c r="H31" s="56"/>
      <c r="I31" s="30"/>
      <c r="J31" s="30"/>
      <c r="K31" s="56"/>
      <c r="L31" s="30"/>
      <c r="M31" s="30"/>
      <c r="N31" s="30"/>
      <c r="O31" s="30"/>
      <c r="P31" s="30"/>
      <c r="Q31" s="30"/>
      <c r="R31" s="53"/>
      <c r="S31" s="54"/>
      <c r="T31" s="55"/>
    </row>
    <row r="32" spans="2:20" s="1" customFormat="1" ht="15.75" customHeight="1" thickBot="1">
      <c r="B32" s="57">
        <v>0.58333333333333337</v>
      </c>
      <c r="C32" s="58"/>
      <c r="D32" s="58"/>
      <c r="E32" s="59"/>
      <c r="F32" s="58"/>
      <c r="G32" s="58"/>
      <c r="H32" s="59"/>
      <c r="I32" s="58"/>
      <c r="J32" s="58"/>
      <c r="K32" s="59"/>
      <c r="L32" s="58"/>
      <c r="M32" s="58"/>
      <c r="N32" s="58"/>
      <c r="O32" s="58"/>
      <c r="P32" s="58"/>
      <c r="Q32" s="58"/>
      <c r="R32" s="60"/>
      <c r="S32" s="61"/>
      <c r="T32" s="62"/>
    </row>
    <row r="33" spans="2:20" s="1" customFormat="1" ht="15.75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63"/>
      <c r="Q33" s="63"/>
      <c r="R33" s="2"/>
      <c r="S33" s="2"/>
      <c r="T33" s="2"/>
    </row>
  </sheetData>
  <mergeCells count="50">
    <mergeCell ref="C28:E28"/>
    <mergeCell ref="F28:H28"/>
    <mergeCell ref="I28:K28"/>
    <mergeCell ref="L28:Q28"/>
    <mergeCell ref="R28:T28"/>
    <mergeCell ref="R29:T32"/>
    <mergeCell ref="C20:E20"/>
    <mergeCell ref="F20:H20"/>
    <mergeCell ref="I20:K20"/>
    <mergeCell ref="L20:N20"/>
    <mergeCell ref="O20:Q20"/>
    <mergeCell ref="R20:T20"/>
    <mergeCell ref="R12:T12"/>
    <mergeCell ref="C11:D11"/>
    <mergeCell ref="J11:K11"/>
    <mergeCell ref="L11:M11"/>
    <mergeCell ref="S11:T11"/>
    <mergeCell ref="C12:E12"/>
    <mergeCell ref="F12:H12"/>
    <mergeCell ref="I12:K12"/>
    <mergeCell ref="L12:N12"/>
    <mergeCell ref="O12:Q12"/>
    <mergeCell ref="C9:D9"/>
    <mergeCell ref="J9:K9"/>
    <mergeCell ref="L9:M9"/>
    <mergeCell ref="S9:T9"/>
    <mergeCell ref="C10:D10"/>
    <mergeCell ref="J10:K10"/>
    <mergeCell ref="L10:M10"/>
    <mergeCell ref="S10:T10"/>
    <mergeCell ref="C7:D7"/>
    <mergeCell ref="J7:K7"/>
    <mergeCell ref="L7:M7"/>
    <mergeCell ref="S7:T7"/>
    <mergeCell ref="C8:D8"/>
    <mergeCell ref="J8:K8"/>
    <mergeCell ref="L8:M8"/>
    <mergeCell ref="S8:T8"/>
    <mergeCell ref="AR5:AS5"/>
    <mergeCell ref="C6:D6"/>
    <mergeCell ref="J6:K6"/>
    <mergeCell ref="L6:M6"/>
    <mergeCell ref="S6:T6"/>
    <mergeCell ref="AR6:AS6"/>
    <mergeCell ref="C4:K4"/>
    <mergeCell ref="L4:T4"/>
    <mergeCell ref="C5:D5"/>
    <mergeCell ref="J5:K5"/>
    <mergeCell ref="L5:M5"/>
    <mergeCell ref="S5:T5"/>
  </mergeCells>
  <phoneticPr fontId="1" type="noConversion"/>
  <conditionalFormatting sqref="D15:D19">
    <cfRule type="expression" dxfId="22" priority="7">
      <formula>D15:D18&gt;$H$31</formula>
    </cfRule>
  </conditionalFormatting>
  <conditionalFormatting sqref="D31:D32 G31:G32 S23:S27 P23:P27 M23:M27 J23:J27 G23:G27 D23:D27 S15:S19 P15:P19 M15:M19 J15:J19 D15:D19 N7:N11 E7:E11 J31:J32">
    <cfRule type="expression" dxfId="21" priority="20">
      <formula>AND(C7&lt;&gt;"", INDIRECT("'" &amp; ($A$1-1) &amp; "일'!" &amp; CELL("address", C7))&lt;&gt;"", C7 &lt; INDIRECT("'" &amp; ($A$1-1) &amp; "일'!" &amp; CELL("address", C7))*0.7)</formula>
    </cfRule>
  </conditionalFormatting>
  <conditionalFormatting sqref="E7:E10">
    <cfRule type="expression" dxfId="20" priority="5">
      <formula>E7:E10&gt;$H$29</formula>
    </cfRule>
  </conditionalFormatting>
  <conditionalFormatting sqref="E15:E19 H15:H19">
    <cfRule type="expression" dxfId="19" priority="3">
      <formula>AND(E15&lt;&gt;"", INDIRECT("'" &amp; ($A$1-1) &amp; "일'!" &amp; CELL("address", E15))&lt;&gt;"", ABS(1 - E15/INDIRECT("'" &amp; ($A$1-1) &amp; "일'!" &amp; CELL("address", E15))) &gt;= 0.01)</formula>
    </cfRule>
  </conditionalFormatting>
  <conditionalFormatting sqref="J15:J19">
    <cfRule type="expression" dxfId="18" priority="8">
      <formula>J15:J18&gt;$H$33</formula>
    </cfRule>
  </conditionalFormatting>
  <conditionalFormatting sqref="J31:J32 E7:E11 N7:N11 D15:D19 J15:J19 M15:M19 P15:P19 S15:S19 D23:D27 G23:G27 J23:J27 M23:M27 P23:P27 S23:S27 D31:D32 G31:G32">
    <cfRule type="expression" dxfId="17" priority="23">
      <formula>AND(B7&lt;&gt;"", INDIRECT("'" &amp; ($A$1-1) &amp; "일'!" &amp; CELL("address", B7))&lt;&gt;"", B7 &gt; INDIRECT("'" &amp; ($A$1-1) &amp; "일'!" &amp; CELL("address", B7))*1.3)</formula>
    </cfRule>
  </conditionalFormatting>
  <conditionalFormatting sqref="J7:K11 S7:T11 K15:K19 N15:N19 Q15:Q19 T15:T19 E23:E27 H23:H27 K23:K27 N23:N27 Q23:Q27 T23:T27">
    <cfRule type="expression" dxfId="16" priority="21">
      <formula>AND(E7&lt;&gt;"", INDIRECT("'" &amp; ($A$1-1) &amp; "일'!" &amp; CELL("address", E7))&lt;&gt;"", ABS(1 - E7/INDIRECT("'" &amp; ($A$1-1) &amp; "일'!" &amp; CELL("address", E7))) &gt;= 0.01)</formula>
    </cfRule>
  </conditionalFormatting>
  <conditionalFormatting sqref="N7:N10">
    <cfRule type="expression" dxfId="15" priority="6">
      <formula>N7:N10&gt;$H$30</formula>
    </cfRule>
  </conditionalFormatting>
  <conditionalFormatting sqref="G15:G19">
    <cfRule type="expression" dxfId="14" priority="24">
      <formula>G15:G18&gt;$H$32</formula>
    </cfRule>
    <cfRule type="expression" dxfId="13" priority="25">
      <formula>AND(F15&lt;&gt;"", INDIRECT("'" &amp; ($A$1-1) &amp; "일'!" &amp; CELL("address", F15))&lt;&gt;"", F15 &lt; INDIRECT("'" &amp; ($A$1-1) &amp; "일'!" &amp; CELL("address", F15))*0.7)</formula>
    </cfRule>
    <cfRule type="expression" dxfId="12" priority="26">
      <formula>AND(E15&lt;&gt;"", INDIRECT("'" &amp; ($A$1-1) &amp; "일'!" &amp; CELL("address", E15))&lt;&gt;"", E15 &gt; INDIRECT("'" &amp; ($A$1-1) &amp; "일'!" &amp; CELL("address", E15))*1.3)</formula>
    </cfRule>
  </conditionalFormatting>
  <conditionalFormatting sqref="D23:D27">
    <cfRule type="expression" dxfId="11" priority="27">
      <formula>D23:D26&gt;#REF!</formula>
    </cfRule>
  </conditionalFormatting>
  <conditionalFormatting sqref="D31:D32">
    <cfRule type="expression" dxfId="10" priority="28">
      <formula>D31:D33&gt;#REF!</formula>
    </cfRule>
  </conditionalFormatting>
  <conditionalFormatting sqref="G23:G27">
    <cfRule type="expression" dxfId="9" priority="29">
      <formula>G23:G26&gt;#REF!</formula>
    </cfRule>
  </conditionalFormatting>
  <conditionalFormatting sqref="G31:G32">
    <cfRule type="expression" dxfId="8" priority="30">
      <formula>G31:G33&gt;#REF!</formula>
    </cfRule>
  </conditionalFormatting>
  <conditionalFormatting sqref="J23:J27">
    <cfRule type="expression" dxfId="7" priority="31">
      <formula>J23:J26&gt;#REF!</formula>
    </cfRule>
  </conditionalFormatting>
  <conditionalFormatting sqref="J31:J32">
    <cfRule type="expression" dxfId="6" priority="32">
      <formula>J31:J33&gt;#REF!</formula>
    </cfRule>
  </conditionalFormatting>
  <conditionalFormatting sqref="M15:M19">
    <cfRule type="expression" dxfId="5" priority="33">
      <formula>M15:M18&gt;#REF!</formula>
    </cfRule>
  </conditionalFormatting>
  <conditionalFormatting sqref="M23:M27">
    <cfRule type="expression" dxfId="4" priority="34">
      <formula>M23:M26&gt;#REF!</formula>
    </cfRule>
  </conditionalFormatting>
  <conditionalFormatting sqref="P15:P19">
    <cfRule type="expression" dxfId="3" priority="35">
      <formula>P15:P18&gt;#REF!</formula>
    </cfRule>
  </conditionalFormatting>
  <conditionalFormatting sqref="P23:P27">
    <cfRule type="expression" dxfId="2" priority="36">
      <formula>P23:P26&gt;#REF!</formula>
    </cfRule>
  </conditionalFormatting>
  <conditionalFormatting sqref="S15:S19">
    <cfRule type="expression" dxfId="1" priority="37">
      <formula>S15:S18&gt;#REF!</formula>
    </cfRule>
  </conditionalFormatting>
  <conditionalFormatting sqref="S23:S27">
    <cfRule type="expression" dxfId="0" priority="38">
      <formula>S23:S26&gt;#REF!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48"/>
  <sheetViews>
    <sheetView tabSelected="1" topLeftCell="A28" workbookViewId="0">
      <selection activeCell="S42" sqref="S42"/>
    </sheetView>
  </sheetViews>
  <sheetFormatPr defaultRowHeight="16.5"/>
  <sheetData>
    <row r="2" spans="2:20" s="1" customFormat="1" ht="15.75" customHeight="1">
      <c r="B2" s="64" t="s">
        <v>77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3"/>
      <c r="N2" s="2"/>
      <c r="O2" s="63"/>
      <c r="P2" s="63"/>
      <c r="Q2" s="63"/>
      <c r="R2" s="2"/>
      <c r="S2" s="2"/>
      <c r="T2" s="2"/>
    </row>
    <row r="3" spans="2:20" s="1" customFormat="1" ht="15.75" customHeight="1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3"/>
      <c r="N3" s="63"/>
      <c r="O3" s="63"/>
      <c r="P3" s="63"/>
      <c r="Q3" s="65"/>
      <c r="R3" s="2"/>
      <c r="S3" s="2"/>
      <c r="T3" s="2"/>
    </row>
    <row r="4" spans="2:20" s="1" customFormat="1" ht="15.75" customHeight="1">
      <c r="B4" s="116" t="s">
        <v>78</v>
      </c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3"/>
      <c r="N4" s="65"/>
      <c r="O4" s="65"/>
      <c r="P4" s="65"/>
      <c r="Q4" s="66"/>
      <c r="R4" s="2"/>
      <c r="S4" s="2"/>
      <c r="T4" s="2"/>
    </row>
    <row r="5" spans="2:20" s="1" customFormat="1" ht="15.75" customHeight="1">
      <c r="B5" s="156"/>
      <c r="C5" s="158"/>
      <c r="D5" s="158"/>
      <c r="E5" s="157"/>
      <c r="F5" s="67" t="s">
        <v>79</v>
      </c>
      <c r="G5" s="68"/>
      <c r="H5" s="67" t="s">
        <v>80</v>
      </c>
      <c r="I5" s="68"/>
      <c r="J5" s="67" t="s">
        <v>81</v>
      </c>
      <c r="K5" s="68"/>
      <c r="L5" s="67" t="s">
        <v>82</v>
      </c>
      <c r="M5" s="68"/>
      <c r="N5" s="69" t="s">
        <v>83</v>
      </c>
      <c r="O5" s="70"/>
      <c r="P5" s="71" t="s">
        <v>84</v>
      </c>
      <c r="Q5" s="5"/>
      <c r="R5" s="2"/>
      <c r="S5" s="2"/>
      <c r="T5" s="2"/>
    </row>
    <row r="6" spans="2:20" s="1" customFormat="1" ht="15.75" customHeight="1">
      <c r="B6" s="123" t="s">
        <v>85</v>
      </c>
      <c r="C6" s="124"/>
      <c r="D6" s="69" t="s">
        <v>86</v>
      </c>
      <c r="E6" s="70"/>
      <c r="F6" s="69"/>
      <c r="G6" s="70"/>
      <c r="H6" s="72"/>
      <c r="I6" s="73"/>
      <c r="J6" s="74"/>
      <c r="K6" s="75"/>
      <c r="L6" s="74"/>
      <c r="M6" s="75"/>
      <c r="N6" s="76"/>
      <c r="O6" s="77"/>
      <c r="P6" s="49"/>
      <c r="Q6" s="5"/>
      <c r="R6" s="2"/>
      <c r="S6" s="2"/>
      <c r="T6" s="2"/>
    </row>
    <row r="7" spans="2:20" s="1" customFormat="1" ht="15.75" customHeight="1">
      <c r="B7" s="127"/>
      <c r="C7" s="128"/>
      <c r="D7" s="69" t="s">
        <v>87</v>
      </c>
      <c r="E7" s="70"/>
      <c r="F7" s="69"/>
      <c r="G7" s="70"/>
      <c r="H7" s="72"/>
      <c r="I7" s="73"/>
      <c r="J7" s="74"/>
      <c r="K7" s="75"/>
      <c r="L7" s="74"/>
      <c r="M7" s="75"/>
      <c r="N7" s="76"/>
      <c r="O7" s="77"/>
      <c r="P7" s="49"/>
      <c r="Q7" s="5"/>
      <c r="R7" s="2"/>
      <c r="S7" s="2"/>
      <c r="T7" s="2"/>
    </row>
    <row r="8" spans="2:20" s="1" customFormat="1" ht="15.75" customHeight="1">
      <c r="B8" s="123" t="s">
        <v>88</v>
      </c>
      <c r="C8" s="124"/>
      <c r="D8" s="67" t="s">
        <v>89</v>
      </c>
      <c r="E8" s="68"/>
      <c r="F8" s="69"/>
      <c r="G8" s="70"/>
      <c r="H8" s="72"/>
      <c r="I8" s="73"/>
      <c r="J8" s="78"/>
      <c r="K8" s="79"/>
      <c r="L8" s="78"/>
      <c r="M8" s="79"/>
      <c r="N8" s="69"/>
      <c r="O8" s="70"/>
      <c r="P8" s="49"/>
    </row>
    <row r="9" spans="2:20" s="1" customFormat="1" ht="15.75" customHeight="1">
      <c r="B9" s="127"/>
      <c r="C9" s="128"/>
      <c r="D9" s="67" t="s">
        <v>90</v>
      </c>
      <c r="E9" s="68"/>
      <c r="F9" s="69"/>
      <c r="G9" s="70"/>
      <c r="H9" s="72"/>
      <c r="I9" s="73"/>
      <c r="J9" s="80"/>
      <c r="K9" s="81"/>
      <c r="L9" s="80"/>
      <c r="M9" s="81"/>
      <c r="N9" s="69"/>
      <c r="O9" s="70"/>
      <c r="P9" s="49"/>
    </row>
    <row r="10" spans="2:20" s="1" customFormat="1" ht="15.75" customHeight="1">
      <c r="B10" s="123" t="s">
        <v>91</v>
      </c>
      <c r="C10" s="124"/>
      <c r="D10" s="69" t="s">
        <v>92</v>
      </c>
      <c r="E10" s="70"/>
      <c r="F10" s="69"/>
      <c r="G10" s="70"/>
      <c r="H10" s="72"/>
      <c r="I10" s="73"/>
      <c r="J10" s="82"/>
      <c r="K10" s="83"/>
      <c r="L10" s="82"/>
      <c r="M10" s="83"/>
      <c r="N10" s="69"/>
      <c r="O10" s="70"/>
      <c r="P10" s="49"/>
    </row>
    <row r="11" spans="2:20" s="1" customFormat="1" ht="15.75" customHeight="1">
      <c r="B11" s="127"/>
      <c r="C11" s="128"/>
      <c r="D11" s="69" t="s">
        <v>93</v>
      </c>
      <c r="E11" s="70"/>
      <c r="F11" s="69"/>
      <c r="G11" s="70"/>
      <c r="H11" s="72"/>
      <c r="I11" s="73"/>
      <c r="J11" s="82" t="str">
        <f>IF(OR(F11="", H11="", (H11-F11)=0), "", IFERROR((H11-F11), ""))</f>
        <v/>
      </c>
      <c r="K11" s="83"/>
      <c r="L11" s="82"/>
      <c r="M11" s="83"/>
      <c r="N11" s="69"/>
      <c r="O11" s="70"/>
      <c r="P11" s="49"/>
    </row>
    <row r="12" spans="2:20" s="1" customFormat="1" ht="8.25" customHeight="1">
      <c r="B12" s="8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84"/>
      <c r="O12" s="3"/>
      <c r="P12" s="3"/>
    </row>
    <row r="13" spans="2:20" s="1" customFormat="1" ht="12.75" customHeight="1">
      <c r="B13" s="116" t="s">
        <v>94</v>
      </c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3"/>
      <c r="N13" s="65"/>
      <c r="O13" s="65"/>
      <c r="P13" s="65"/>
    </row>
    <row r="14" spans="2:20" s="1" customFormat="1" ht="15.75" customHeight="1">
      <c r="B14" s="156"/>
      <c r="C14" s="157"/>
      <c r="D14" s="67" t="s">
        <v>95</v>
      </c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68"/>
    </row>
    <row r="15" spans="2:20" s="1" customFormat="1" ht="15.75" customHeight="1">
      <c r="B15" s="85" t="s">
        <v>96</v>
      </c>
      <c r="C15" s="85" t="s">
        <v>97</v>
      </c>
      <c r="D15" s="85" t="s">
        <v>98</v>
      </c>
      <c r="E15" s="150" t="s">
        <v>99</v>
      </c>
      <c r="F15" s="154"/>
      <c r="G15" s="151"/>
      <c r="H15" s="150" t="s">
        <v>100</v>
      </c>
      <c r="I15" s="154"/>
      <c r="J15" s="154"/>
      <c r="K15" s="151"/>
      <c r="L15" s="123" t="s">
        <v>101</v>
      </c>
      <c r="M15" s="152"/>
      <c r="N15" s="152"/>
      <c r="O15" s="152"/>
      <c r="P15" s="124"/>
    </row>
    <row r="16" spans="2:20" s="1" customFormat="1" ht="15.75" customHeight="1">
      <c r="B16" s="155"/>
      <c r="C16" s="86"/>
      <c r="D16" s="86"/>
      <c r="E16" s="87" t="s">
        <v>102</v>
      </c>
      <c r="F16" s="150" t="s">
        <v>103</v>
      </c>
      <c r="G16" s="151"/>
      <c r="H16" s="150" t="s">
        <v>102</v>
      </c>
      <c r="I16" s="151"/>
      <c r="J16" s="150" t="s">
        <v>103</v>
      </c>
      <c r="K16" s="151"/>
      <c r="L16" s="127"/>
      <c r="M16" s="153"/>
      <c r="N16" s="153"/>
      <c r="O16" s="153"/>
      <c r="P16" s="128"/>
    </row>
    <row r="17" spans="2:16" s="1" customFormat="1" ht="15.75" customHeight="1">
      <c r="B17" s="155"/>
      <c r="C17" s="88" t="s">
        <v>104</v>
      </c>
      <c r="D17" s="88" t="s">
        <v>105</v>
      </c>
      <c r="E17" s="89"/>
      <c r="F17" s="148"/>
      <c r="G17" s="149"/>
      <c r="H17" s="146"/>
      <c r="I17" s="147"/>
      <c r="J17" s="146"/>
      <c r="K17" s="147"/>
      <c r="L17" s="67" t="s">
        <v>97</v>
      </c>
      <c r="M17" s="68"/>
      <c r="N17" s="71" t="s">
        <v>106</v>
      </c>
      <c r="O17" s="67" t="s">
        <v>107</v>
      </c>
      <c r="P17" s="68"/>
    </row>
    <row r="18" spans="2:16" s="1" customFormat="1" ht="15.75" customHeight="1">
      <c r="B18" s="86"/>
      <c r="C18" s="88" t="s">
        <v>108</v>
      </c>
      <c r="D18" s="88" t="s">
        <v>105</v>
      </c>
      <c r="E18" s="89"/>
      <c r="F18" s="148"/>
      <c r="G18" s="149"/>
      <c r="H18" s="146"/>
      <c r="I18" s="147"/>
      <c r="J18" s="146"/>
      <c r="K18" s="147"/>
      <c r="L18" s="142" t="s">
        <v>104</v>
      </c>
      <c r="M18" s="143"/>
      <c r="N18" s="139"/>
      <c r="O18" s="135"/>
      <c r="P18" s="136"/>
    </row>
    <row r="19" spans="2:16" s="1" customFormat="1" ht="15.75" customHeight="1">
      <c r="B19" s="90"/>
      <c r="C19" s="90"/>
      <c r="D19" s="71" t="s">
        <v>98</v>
      </c>
      <c r="E19" s="69" t="s">
        <v>109</v>
      </c>
      <c r="F19" s="141"/>
      <c r="G19" s="70"/>
      <c r="H19" s="67" t="s">
        <v>110</v>
      </c>
      <c r="I19" s="96"/>
      <c r="J19" s="96"/>
      <c r="K19" s="68"/>
      <c r="L19" s="144"/>
      <c r="M19" s="145"/>
      <c r="N19" s="140"/>
      <c r="O19" s="137"/>
      <c r="P19" s="138"/>
    </row>
    <row r="20" spans="2:16" s="1" customFormat="1" ht="15.75" customHeight="1">
      <c r="B20" s="92" t="s">
        <v>111</v>
      </c>
      <c r="C20" s="49" t="s">
        <v>104</v>
      </c>
      <c r="D20" s="91">
        <v>0.40972222222222221</v>
      </c>
      <c r="E20" s="132"/>
      <c r="F20" s="133"/>
      <c r="G20" s="134"/>
      <c r="H20" s="129">
        <v>80</v>
      </c>
      <c r="I20" s="130"/>
      <c r="J20" s="130"/>
      <c r="K20" s="131"/>
      <c r="L20" s="123" t="s">
        <v>112</v>
      </c>
      <c r="M20" s="124"/>
      <c r="N20" s="139"/>
      <c r="O20" s="135"/>
      <c r="P20" s="136"/>
    </row>
    <row r="21" spans="2:16" s="1" customFormat="1" ht="15.75" customHeight="1">
      <c r="B21" s="95"/>
      <c r="C21" s="49" t="s">
        <v>108</v>
      </c>
      <c r="D21" s="91">
        <v>0.375</v>
      </c>
      <c r="E21" s="132"/>
      <c r="F21" s="133"/>
      <c r="G21" s="134"/>
      <c r="H21" s="129">
        <v>80</v>
      </c>
      <c r="I21" s="130"/>
      <c r="J21" s="130"/>
      <c r="K21" s="131"/>
      <c r="L21" s="127"/>
      <c r="M21" s="128"/>
      <c r="N21" s="140"/>
      <c r="O21" s="137"/>
      <c r="P21" s="138"/>
    </row>
    <row r="22" spans="2:16" s="1" customFormat="1" ht="15.75" customHeight="1">
      <c r="B22" s="123" t="s">
        <v>113</v>
      </c>
      <c r="C22" s="124"/>
      <c r="D22" s="71" t="s">
        <v>98</v>
      </c>
      <c r="E22" s="69" t="s">
        <v>114</v>
      </c>
      <c r="F22" s="70"/>
      <c r="G22" s="69" t="s">
        <v>115</v>
      </c>
      <c r="H22" s="70"/>
      <c r="I22" s="69" t="s">
        <v>116</v>
      </c>
      <c r="J22" s="70"/>
      <c r="K22" s="69" t="s">
        <v>117</v>
      </c>
      <c r="L22" s="70"/>
      <c r="M22" s="69" t="s">
        <v>118</v>
      </c>
      <c r="N22" s="70"/>
      <c r="O22" s="69" t="s">
        <v>119</v>
      </c>
      <c r="P22" s="70"/>
    </row>
    <row r="23" spans="2:16" s="1" customFormat="1" ht="15.75" customHeight="1">
      <c r="B23" s="125"/>
      <c r="C23" s="126"/>
      <c r="D23" s="91">
        <v>0.40972222222222221</v>
      </c>
      <c r="E23" s="121"/>
      <c r="F23" s="122"/>
      <c r="G23" s="121"/>
      <c r="H23" s="122"/>
      <c r="I23" s="121"/>
      <c r="J23" s="122"/>
      <c r="K23" s="121"/>
      <c r="L23" s="122"/>
      <c r="M23" s="121"/>
      <c r="N23" s="122"/>
      <c r="O23" s="121"/>
      <c r="P23" s="122"/>
    </row>
    <row r="24" spans="2:16" s="1" customFormat="1" ht="15.75" customHeight="1">
      <c r="B24" s="127"/>
      <c r="C24" s="128"/>
      <c r="D24" s="91">
        <v>0.5625</v>
      </c>
      <c r="E24" s="121"/>
      <c r="F24" s="122"/>
      <c r="G24" s="121"/>
      <c r="H24" s="122"/>
      <c r="I24" s="121"/>
      <c r="J24" s="122"/>
      <c r="K24" s="121"/>
      <c r="L24" s="122"/>
      <c r="M24" s="121"/>
      <c r="N24" s="122"/>
      <c r="O24" s="121"/>
      <c r="P24" s="122"/>
    </row>
    <row r="25" spans="2:16" s="1" customFormat="1" ht="15.75" customHeight="1">
      <c r="B25" s="92" t="s">
        <v>120</v>
      </c>
      <c r="C25" s="71"/>
      <c r="D25" s="71" t="s">
        <v>98</v>
      </c>
      <c r="E25" s="67" t="s">
        <v>121</v>
      </c>
      <c r="F25" s="96"/>
      <c r="G25" s="68"/>
      <c r="H25" s="67" t="s">
        <v>122</v>
      </c>
      <c r="I25" s="96"/>
      <c r="J25" s="68"/>
      <c r="K25" s="67" t="s">
        <v>123</v>
      </c>
      <c r="L25" s="96"/>
      <c r="M25" s="68"/>
      <c r="N25" s="67" t="s">
        <v>124</v>
      </c>
      <c r="O25" s="96"/>
      <c r="P25" s="68"/>
    </row>
    <row r="26" spans="2:16" s="1" customFormat="1" ht="15.75" customHeight="1">
      <c r="B26" s="93"/>
      <c r="C26" s="71" t="s">
        <v>125</v>
      </c>
      <c r="D26" s="91">
        <v>0.40972222222222221</v>
      </c>
      <c r="E26" s="118"/>
      <c r="F26" s="119"/>
      <c r="G26" s="120"/>
      <c r="H26" s="118"/>
      <c r="I26" s="119"/>
      <c r="J26" s="120"/>
      <c r="K26" s="118"/>
      <c r="L26" s="119"/>
      <c r="M26" s="120"/>
      <c r="N26" s="118"/>
      <c r="O26" s="119"/>
      <c r="P26" s="120"/>
    </row>
    <row r="27" spans="2:16" s="1" customFormat="1" ht="15.75" customHeight="1">
      <c r="B27" s="93"/>
      <c r="C27" s="71" t="s">
        <v>126</v>
      </c>
      <c r="D27" s="91">
        <v>0.5625</v>
      </c>
      <c r="E27" s="118"/>
      <c r="F27" s="119"/>
      <c r="G27" s="120"/>
      <c r="H27" s="118"/>
      <c r="I27" s="119"/>
      <c r="J27" s="120"/>
      <c r="K27" s="118"/>
      <c r="L27" s="119"/>
      <c r="M27" s="120"/>
      <c r="N27" s="118"/>
      <c r="O27" s="119"/>
      <c r="P27" s="120"/>
    </row>
    <row r="28" spans="2:16" s="1" customFormat="1" ht="15.75" customHeight="1">
      <c r="B28" s="93"/>
      <c r="C28" s="94"/>
      <c r="D28" s="71" t="s">
        <v>98</v>
      </c>
      <c r="E28" s="67" t="s">
        <v>127</v>
      </c>
      <c r="F28" s="96"/>
      <c r="G28" s="68"/>
      <c r="H28" s="67" t="s">
        <v>128</v>
      </c>
      <c r="I28" s="96"/>
      <c r="J28" s="68"/>
      <c r="K28" s="67" t="s">
        <v>129</v>
      </c>
      <c r="L28" s="96"/>
      <c r="M28" s="68"/>
      <c r="N28" s="67" t="s">
        <v>130</v>
      </c>
      <c r="O28" s="96"/>
      <c r="P28" s="68"/>
    </row>
    <row r="29" spans="2:16" s="1" customFormat="1" ht="15.75" customHeight="1">
      <c r="B29" s="93"/>
      <c r="C29" s="71" t="s">
        <v>125</v>
      </c>
      <c r="D29" s="91">
        <v>0.40972222222222221</v>
      </c>
      <c r="E29" s="118"/>
      <c r="F29" s="119"/>
      <c r="G29" s="120"/>
      <c r="H29" s="118"/>
      <c r="I29" s="119"/>
      <c r="J29" s="120"/>
      <c r="K29" s="118"/>
      <c r="L29" s="119"/>
      <c r="M29" s="120"/>
      <c r="N29" s="118"/>
      <c r="O29" s="119"/>
      <c r="P29" s="120"/>
    </row>
    <row r="30" spans="2:16" s="1" customFormat="1" ht="15.75" customHeight="1">
      <c r="B30" s="95"/>
      <c r="C30" s="71">
        <v>25.3</v>
      </c>
      <c r="D30" s="91">
        <v>0.5625</v>
      </c>
      <c r="E30" s="118"/>
      <c r="F30" s="119"/>
      <c r="G30" s="120"/>
      <c r="H30" s="118"/>
      <c r="I30" s="119"/>
      <c r="J30" s="120"/>
      <c r="K30" s="118"/>
      <c r="L30" s="119"/>
      <c r="M30" s="120"/>
      <c r="N30" s="118"/>
      <c r="O30" s="119"/>
      <c r="P30" s="120"/>
    </row>
    <row r="31" spans="2:16" s="1" customFormat="1" ht="15.75" hidden="1" customHeight="1"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</row>
    <row r="32" spans="2:16" s="1" customFormat="1" ht="15.75" hidden="1" customHeight="1"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</row>
    <row r="33" spans="2:17" s="1" customFormat="1" ht="15.75" hidden="1" customHeight="1"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</row>
    <row r="34" spans="2:17" s="1" customFormat="1" ht="16.5" customHeight="1">
      <c r="B34" s="117" t="s">
        <v>131</v>
      </c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6"/>
      <c r="N34" s="116"/>
      <c r="O34" s="116"/>
      <c r="P34" s="116"/>
    </row>
    <row r="35" spans="2:17" s="1" customFormat="1" ht="15.75" customHeight="1">
      <c r="B35" s="69"/>
      <c r="C35" s="70"/>
      <c r="D35" s="67" t="s">
        <v>132</v>
      </c>
      <c r="E35" s="96"/>
      <c r="F35" s="96"/>
      <c r="G35" s="96"/>
      <c r="H35" s="96"/>
      <c r="I35" s="68"/>
      <c r="J35" s="67" t="s">
        <v>133</v>
      </c>
      <c r="K35" s="96"/>
      <c r="L35" s="96"/>
      <c r="M35" s="68"/>
      <c r="N35" s="67" t="s">
        <v>134</v>
      </c>
      <c r="O35" s="96"/>
      <c r="P35" s="68"/>
    </row>
    <row r="36" spans="2:17" s="1" customFormat="1" ht="15.75" customHeight="1">
      <c r="B36" s="97" t="s">
        <v>135</v>
      </c>
      <c r="C36" s="98" t="s">
        <v>136</v>
      </c>
      <c r="D36" s="99" t="s">
        <v>98</v>
      </c>
      <c r="E36" s="98" t="s">
        <v>137</v>
      </c>
      <c r="F36" s="98" t="s">
        <v>138</v>
      </c>
      <c r="G36" s="98" t="s">
        <v>139</v>
      </c>
      <c r="H36" s="100" t="s">
        <v>140</v>
      </c>
      <c r="I36" s="100" t="s">
        <v>141</v>
      </c>
      <c r="J36" s="98" t="s">
        <v>142</v>
      </c>
      <c r="K36" s="98" t="s">
        <v>143</v>
      </c>
      <c r="L36" s="98" t="s">
        <v>144</v>
      </c>
      <c r="M36" s="98" t="s">
        <v>145</v>
      </c>
      <c r="N36" s="98" t="s">
        <v>142</v>
      </c>
      <c r="O36" s="98" t="s">
        <v>143</v>
      </c>
      <c r="P36" s="98" t="s">
        <v>144</v>
      </c>
    </row>
    <row r="37" spans="2:17" s="1" customFormat="1" ht="15.75" customHeight="1">
      <c r="B37" s="101"/>
      <c r="C37" s="98" t="s">
        <v>146</v>
      </c>
      <c r="D37" s="102"/>
      <c r="E37" s="100">
        <v>6.6</v>
      </c>
      <c r="F37" s="100">
        <v>25</v>
      </c>
      <c r="G37" s="100" t="s">
        <v>147</v>
      </c>
      <c r="H37" s="100" t="s">
        <v>148</v>
      </c>
      <c r="I37" s="100">
        <v>100</v>
      </c>
      <c r="J37" s="100">
        <v>0.9</v>
      </c>
      <c r="K37" s="100">
        <v>32</v>
      </c>
      <c r="L37" s="100">
        <v>37</v>
      </c>
      <c r="M37" s="100">
        <v>50</v>
      </c>
      <c r="N37" s="100">
        <v>460</v>
      </c>
      <c r="O37" s="100">
        <v>12</v>
      </c>
      <c r="P37" s="100">
        <v>7</v>
      </c>
    </row>
    <row r="38" spans="2:17" s="1" customFormat="1" ht="15.75" customHeight="1">
      <c r="B38" s="101"/>
      <c r="C38" s="103" t="s">
        <v>149</v>
      </c>
      <c r="D38" s="104" t="s">
        <v>105</v>
      </c>
      <c r="E38" s="104"/>
      <c r="F38" s="104"/>
      <c r="G38" s="104"/>
      <c r="H38" s="105"/>
      <c r="I38" s="106"/>
      <c r="J38" s="104"/>
      <c r="K38" s="105"/>
      <c r="L38" s="105"/>
      <c r="M38" s="106"/>
      <c r="N38" s="104"/>
      <c r="O38" s="105"/>
      <c r="P38" s="105"/>
    </row>
    <row r="39" spans="2:17" s="1" customFormat="1" ht="15.75" customHeight="1">
      <c r="B39" s="101"/>
      <c r="C39" s="107"/>
      <c r="D39" s="104" t="s">
        <v>105</v>
      </c>
      <c r="E39" s="104"/>
      <c r="F39" s="104"/>
      <c r="G39" s="104"/>
      <c r="H39" s="105"/>
      <c r="I39" s="106"/>
      <c r="J39" s="104"/>
      <c r="K39" s="105"/>
      <c r="L39" s="105"/>
      <c r="M39" s="106"/>
      <c r="N39" s="104"/>
      <c r="O39" s="105"/>
      <c r="P39" s="105"/>
    </row>
    <row r="40" spans="2:17" s="1" customFormat="1" ht="15.75" customHeight="1">
      <c r="B40" s="101"/>
      <c r="C40" s="103" t="s">
        <v>150</v>
      </c>
      <c r="D40" s="104" t="s">
        <v>105</v>
      </c>
      <c r="E40" s="104"/>
      <c r="F40" s="104"/>
      <c r="G40" s="104"/>
      <c r="H40" s="105"/>
      <c r="I40" s="106"/>
      <c r="J40" s="104"/>
      <c r="K40" s="105"/>
      <c r="L40" s="105"/>
      <c r="M40" s="106"/>
      <c r="N40" s="104"/>
      <c r="O40" s="105"/>
      <c r="P40" s="105"/>
      <c r="Q40" s="3"/>
    </row>
    <row r="41" spans="2:17" s="1" customFormat="1" ht="15.75" customHeight="1">
      <c r="B41" s="101"/>
      <c r="C41" s="107"/>
      <c r="D41" s="104" t="s">
        <v>105</v>
      </c>
      <c r="E41" s="104"/>
      <c r="F41" s="104"/>
      <c r="G41" s="104"/>
      <c r="H41" s="105"/>
      <c r="I41" s="106"/>
      <c r="J41" s="104"/>
      <c r="K41" s="105"/>
      <c r="L41" s="105"/>
      <c r="M41" s="106"/>
      <c r="N41" s="104"/>
      <c r="O41" s="105"/>
      <c r="P41" s="105"/>
      <c r="Q41" s="3"/>
    </row>
    <row r="42" spans="2:17" s="1" customFormat="1" ht="15.75" customHeight="1">
      <c r="B42" s="101"/>
      <c r="C42" s="103" t="s">
        <v>151</v>
      </c>
      <c r="D42" s="108">
        <v>0.40972222222222221</v>
      </c>
      <c r="E42" s="98"/>
      <c r="F42" s="100"/>
      <c r="G42" s="100"/>
      <c r="H42" s="98"/>
      <c r="I42" s="98"/>
      <c r="J42" s="98"/>
      <c r="K42" s="98"/>
      <c r="L42" s="98"/>
      <c r="M42" s="98"/>
      <c r="N42" s="98"/>
      <c r="O42" s="98"/>
      <c r="P42" s="98"/>
      <c r="Q42" s="3"/>
    </row>
    <row r="43" spans="2:17" s="1" customFormat="1" ht="15.75" customHeight="1">
      <c r="B43" s="101"/>
      <c r="C43" s="107"/>
      <c r="D43" s="109">
        <v>0.5625</v>
      </c>
      <c r="E43" s="104"/>
      <c r="F43" s="100"/>
      <c r="G43" s="100"/>
      <c r="H43" s="104"/>
      <c r="I43" s="104"/>
      <c r="J43" s="104"/>
      <c r="K43" s="98"/>
      <c r="L43" s="105"/>
      <c r="M43" s="104"/>
      <c r="N43" s="104"/>
      <c r="O43" s="98"/>
      <c r="P43" s="98"/>
      <c r="Q43" s="3"/>
    </row>
    <row r="44" spans="2:17" s="1" customFormat="1" ht="15.75" customHeight="1">
      <c r="B44" s="101"/>
      <c r="C44" s="103" t="s">
        <v>152</v>
      </c>
      <c r="D44" s="98" t="s">
        <v>98</v>
      </c>
      <c r="E44" s="98" t="s">
        <v>138</v>
      </c>
      <c r="F44" s="100" t="s">
        <v>153</v>
      </c>
      <c r="G44" s="100" t="s">
        <v>154</v>
      </c>
      <c r="H44" s="98" t="s">
        <v>155</v>
      </c>
      <c r="I44" s="98" t="s">
        <v>156</v>
      </c>
      <c r="J44" s="98" t="s">
        <v>142</v>
      </c>
      <c r="K44" s="98" t="s">
        <v>143</v>
      </c>
      <c r="L44" s="98" t="s">
        <v>144</v>
      </c>
      <c r="M44" s="98" t="s">
        <v>145</v>
      </c>
      <c r="N44" s="98" t="s">
        <v>142</v>
      </c>
      <c r="O44" s="98" t="s">
        <v>143</v>
      </c>
      <c r="P44" s="98" t="s">
        <v>144</v>
      </c>
      <c r="Q44" s="3"/>
    </row>
    <row r="45" spans="2:17" s="1" customFormat="1" ht="15.75" customHeight="1">
      <c r="B45" s="101"/>
      <c r="C45" s="110"/>
      <c r="D45" s="108">
        <v>0.375</v>
      </c>
      <c r="E45" s="98"/>
      <c r="F45" s="98"/>
      <c r="G45" s="98"/>
      <c r="H45" s="98"/>
      <c r="I45" s="111"/>
      <c r="J45" s="98"/>
      <c r="K45" s="98"/>
      <c r="L45" s="98"/>
      <c r="M45" s="98"/>
      <c r="N45" s="98"/>
      <c r="O45" s="98"/>
      <c r="P45" s="98"/>
      <c r="Q45" s="3"/>
    </row>
    <row r="46" spans="2:17" s="1" customFormat="1" ht="15.75" customHeight="1">
      <c r="B46" s="112"/>
      <c r="C46" s="107"/>
      <c r="D46" s="109">
        <v>0.54861111111111116</v>
      </c>
      <c r="E46" s="104"/>
      <c r="F46" s="104"/>
      <c r="G46" s="104"/>
      <c r="H46" s="104"/>
      <c r="I46" s="104"/>
      <c r="J46" s="98"/>
      <c r="K46" s="98"/>
      <c r="L46" s="98"/>
      <c r="M46" s="98"/>
      <c r="N46" s="98"/>
      <c r="O46" s="98"/>
      <c r="P46" s="98"/>
      <c r="Q46" s="3"/>
    </row>
    <row r="47" spans="2:17" s="1" customFormat="1" ht="17.25" customHeight="1">
      <c r="B47" s="113" t="s">
        <v>158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5"/>
      <c r="Q47" s="3"/>
    </row>
    <row r="48" spans="2:17" ht="150.75" customHeight="1">
      <c r="B48" s="113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5"/>
    </row>
  </sheetData>
  <mergeCells count="138">
    <mergeCell ref="B47:P47"/>
    <mergeCell ref="B48:P48"/>
    <mergeCell ref="B36:B46"/>
    <mergeCell ref="D36:D37"/>
    <mergeCell ref="C38:C39"/>
    <mergeCell ref="C40:C41"/>
    <mergeCell ref="C42:C43"/>
    <mergeCell ref="C44:C46"/>
    <mergeCell ref="B34:L34"/>
    <mergeCell ref="M34:P34"/>
    <mergeCell ref="B35:C35"/>
    <mergeCell ref="D35:I35"/>
    <mergeCell ref="J35:M35"/>
    <mergeCell ref="N35:P35"/>
    <mergeCell ref="E29:G29"/>
    <mergeCell ref="H29:J29"/>
    <mergeCell ref="K29:M29"/>
    <mergeCell ref="N29:P29"/>
    <mergeCell ref="E30:G30"/>
    <mergeCell ref="H30:J30"/>
    <mergeCell ref="K30:M30"/>
    <mergeCell ref="N30:P30"/>
    <mergeCell ref="N26:P26"/>
    <mergeCell ref="E27:G27"/>
    <mergeCell ref="H27:J27"/>
    <mergeCell ref="K27:M27"/>
    <mergeCell ref="N27:P27"/>
    <mergeCell ref="E28:G28"/>
    <mergeCell ref="H28:J28"/>
    <mergeCell ref="K28:M28"/>
    <mergeCell ref="N28:P28"/>
    <mergeCell ref="M24:N24"/>
    <mergeCell ref="O24:P24"/>
    <mergeCell ref="B25:B30"/>
    <mergeCell ref="E25:G25"/>
    <mergeCell ref="H25:J25"/>
    <mergeCell ref="K25:M25"/>
    <mergeCell ref="N25:P25"/>
    <mergeCell ref="E26:G26"/>
    <mergeCell ref="H26:J26"/>
    <mergeCell ref="K26:M26"/>
    <mergeCell ref="O22:P22"/>
    <mergeCell ref="E23:F23"/>
    <mergeCell ref="G23:H23"/>
    <mergeCell ref="I23:J23"/>
    <mergeCell ref="K23:L23"/>
    <mergeCell ref="M23:N23"/>
    <mergeCell ref="O23:P23"/>
    <mergeCell ref="B22:C24"/>
    <mergeCell ref="E22:F22"/>
    <mergeCell ref="G22:H22"/>
    <mergeCell ref="I22:J22"/>
    <mergeCell ref="K22:L22"/>
    <mergeCell ref="M22:N22"/>
    <mergeCell ref="E24:F24"/>
    <mergeCell ref="G24:H24"/>
    <mergeCell ref="I24:J24"/>
    <mergeCell ref="K24:L24"/>
    <mergeCell ref="B20:B21"/>
    <mergeCell ref="E20:G20"/>
    <mergeCell ref="H20:K20"/>
    <mergeCell ref="L20:M21"/>
    <mergeCell ref="N20:N21"/>
    <mergeCell ref="O20:P21"/>
    <mergeCell ref="E21:G21"/>
    <mergeCell ref="H21:K21"/>
    <mergeCell ref="O17:P17"/>
    <mergeCell ref="F18:G18"/>
    <mergeCell ref="H18:I18"/>
    <mergeCell ref="J18:K18"/>
    <mergeCell ref="L18:M19"/>
    <mergeCell ref="N18:N19"/>
    <mergeCell ref="O18:P19"/>
    <mergeCell ref="E19:G19"/>
    <mergeCell ref="H19:K19"/>
    <mergeCell ref="H16:I16"/>
    <mergeCell ref="J16:K16"/>
    <mergeCell ref="F17:G17"/>
    <mergeCell ref="H17:I17"/>
    <mergeCell ref="J17:K17"/>
    <mergeCell ref="L17:M17"/>
    <mergeCell ref="B13:L13"/>
    <mergeCell ref="B14:C14"/>
    <mergeCell ref="D14:P14"/>
    <mergeCell ref="B15:B18"/>
    <mergeCell ref="C15:C16"/>
    <mergeCell ref="D15:D16"/>
    <mergeCell ref="E15:G15"/>
    <mergeCell ref="H15:K15"/>
    <mergeCell ref="L15:P16"/>
    <mergeCell ref="F16:G16"/>
    <mergeCell ref="N10:O10"/>
    <mergeCell ref="D11:E11"/>
    <mergeCell ref="F11:G11"/>
    <mergeCell ref="H11:I11"/>
    <mergeCell ref="J11:K11"/>
    <mergeCell ref="L11:M11"/>
    <mergeCell ref="N11:O11"/>
    <mergeCell ref="B10:C11"/>
    <mergeCell ref="D10:E10"/>
    <mergeCell ref="F10:G10"/>
    <mergeCell ref="H10:I10"/>
    <mergeCell ref="J10:K10"/>
    <mergeCell ref="L10:M10"/>
    <mergeCell ref="N8:O8"/>
    <mergeCell ref="D9:E9"/>
    <mergeCell ref="F9:G9"/>
    <mergeCell ref="H9:I9"/>
    <mergeCell ref="J9:K9"/>
    <mergeCell ref="L9:M9"/>
    <mergeCell ref="N9:O9"/>
    <mergeCell ref="H7:I7"/>
    <mergeCell ref="J7:K7"/>
    <mergeCell ref="L7:M7"/>
    <mergeCell ref="N7:O7"/>
    <mergeCell ref="B8:C9"/>
    <mergeCell ref="D8:E8"/>
    <mergeCell ref="F8:G8"/>
    <mergeCell ref="H8:I8"/>
    <mergeCell ref="J8:K8"/>
    <mergeCell ref="L8:M8"/>
    <mergeCell ref="N5:O5"/>
    <mergeCell ref="B6:C7"/>
    <mergeCell ref="D6:E6"/>
    <mergeCell ref="F6:G6"/>
    <mergeCell ref="H6:I6"/>
    <mergeCell ref="J6:K6"/>
    <mergeCell ref="L6:M6"/>
    <mergeCell ref="N6:O6"/>
    <mergeCell ref="D7:E7"/>
    <mergeCell ref="F7:G7"/>
    <mergeCell ref="B2:L3"/>
    <mergeCell ref="B4:L4"/>
    <mergeCell ref="B5:E5"/>
    <mergeCell ref="F5:G5"/>
    <mergeCell ref="H5:I5"/>
    <mergeCell ref="J5:K5"/>
    <mergeCell ref="L5:M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전기</vt:lpstr>
      <vt:lpstr>설비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2026-08-31T06:53:18Z</dcterms:created>
  <dcterms:modified xsi:type="dcterms:W3CDTF">2026-08-31T06:56:30Z</dcterms:modified>
</cp:coreProperties>
</file>