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Z:\FMS 자료\"/>
    </mc:Choice>
  </mc:AlternateContent>
  <xr:revisionPtr revIDLastSave="0" documentId="13_ncr:1_{19983716-743F-424E-A902-AB0EE684FDE1}" xr6:coauthVersionLast="47" xr6:coauthVersionMax="47" xr10:uidLastSave="{00000000-0000-0000-0000-000000000000}"/>
  <bookViews>
    <workbookView xWindow="28680" yWindow="-120" windowWidth="29040" windowHeight="15720" tabRatio="970" activeTab="1" xr2:uid="{00000000-000D-0000-FFFF-FFFF00000000}"/>
  </bookViews>
  <sheets>
    <sheet name="1일" sheetId="166" r:id="rId1"/>
    <sheet name="월보" sheetId="97" r:id="rId2"/>
  </sheets>
  <definedNames>
    <definedName name="_xlnm.Print_Area" localSheetId="1">월보!$A$1:$AA$120</definedName>
    <definedName name="내범위">#REF!,#REF!,#REF!,#REF!,#REF!,#REF!,#REF!,#REF!,#REF!,#REF!,#REF!,#REF!,#REF!,#REF!,#REF!,#REF!,#REF!,#REF!,#REF!,#REF!,#REF!,#REF!,#REF!,#REF!,#REF!,#REF!,#REF!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66" l="1"/>
  <c r="J119" i="97" l="1"/>
  <c r="J118" i="97"/>
  <c r="M118" i="97"/>
  <c r="M119" i="97"/>
  <c r="M40" i="97"/>
  <c r="M41" i="97"/>
  <c r="D118" i="97"/>
  <c r="D119" i="97"/>
  <c r="S80" i="97"/>
  <c r="S79" i="97"/>
  <c r="J41" i="97"/>
  <c r="J40" i="97"/>
  <c r="G41" i="97"/>
  <c r="G40" i="97"/>
  <c r="M80" i="97"/>
  <c r="M79" i="97"/>
  <c r="V80" i="97"/>
  <c r="V79" i="97"/>
  <c r="D41" i="97"/>
  <c r="AA80" i="97"/>
  <c r="AA79" i="97"/>
  <c r="Y119" i="97"/>
  <c r="Y118" i="97"/>
  <c r="V40" i="97"/>
  <c r="V41" i="97"/>
  <c r="S118" i="97"/>
  <c r="P40" i="97"/>
  <c r="P41" i="97"/>
  <c r="G119" i="97"/>
  <c r="G118" i="97"/>
  <c r="D80" i="97"/>
  <c r="D79" i="97"/>
  <c r="J80" i="97"/>
  <c r="J79" i="97"/>
  <c r="S40" i="97"/>
  <c r="S41" i="97"/>
  <c r="Y80" i="97"/>
  <c r="Y79" i="97"/>
  <c r="V119" i="97"/>
  <c r="V118" i="97"/>
  <c r="G80" i="97"/>
  <c r="G79" i="97"/>
  <c r="P79" i="97"/>
  <c r="P80" i="97"/>
  <c r="P118" i="97"/>
  <c r="O40" i="97" l="1"/>
  <c r="O41" i="97" s="1"/>
  <c r="L40" i="97"/>
  <c r="L41" i="97" s="1"/>
  <c r="U40" i="97"/>
  <c r="U41" i="97" s="1"/>
  <c r="U118" i="97"/>
  <c r="U119" i="97" s="1"/>
  <c r="R79" i="97"/>
  <c r="R40" i="97"/>
  <c r="I118" i="97"/>
  <c r="L118" i="97"/>
  <c r="I40" i="97"/>
  <c r="Z79" i="97"/>
  <c r="I79" i="97"/>
  <c r="X118" i="97"/>
  <c r="O79" i="97"/>
  <c r="O80" i="97" s="1"/>
  <c r="L79" i="97"/>
  <c r="C79" i="97"/>
  <c r="F79" i="97"/>
  <c r="F80" i="97" s="1"/>
  <c r="X79" i="97"/>
  <c r="C40" i="97"/>
  <c r="F118" i="97"/>
  <c r="U79" i="97"/>
  <c r="F40" i="97"/>
  <c r="C118" i="97"/>
  <c r="I119" i="97" l="1"/>
  <c r="R80" i="97"/>
  <c r="X119" i="97"/>
  <c r="R41" i="97"/>
  <c r="L80" i="97"/>
  <c r="C80" i="97"/>
  <c r="I80" i="97"/>
  <c r="Z80" i="97"/>
  <c r="X80" i="97"/>
  <c r="I41" i="97"/>
  <c r="L119" i="97"/>
  <c r="F41" i="97"/>
  <c r="U80" i="97"/>
  <c r="F119" i="97"/>
  <c r="C41" i="97"/>
  <c r="C119" i="97"/>
  <c r="T32" i="166"/>
  <c r="T32" i="16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<sst xmlns="http://schemas.openxmlformats.org/spreadsheetml/2006/main" count="530" uniqueCount="163">
  <si>
    <t>NO 1 INCOMMING</t>
  </si>
  <si>
    <t>몰오브광양</t>
    <phoneticPr fontId="16" type="noConversion"/>
  </si>
  <si>
    <t>18 S/S</t>
  </si>
  <si>
    <t>12,16 S/S</t>
  </si>
  <si>
    <t>6 S/S</t>
  </si>
  <si>
    <t>제철남초등학교</t>
    <phoneticPr fontId="16" type="noConversion"/>
  </si>
  <si>
    <t xml:space="preserve">동백.소내 </t>
  </si>
  <si>
    <t xml:space="preserve">        </t>
  </si>
  <si>
    <t>적산량×4800</t>
  </si>
  <si>
    <t>적산량×3600</t>
    <phoneticPr fontId="16" type="noConversion"/>
  </si>
  <si>
    <t>적산량×1800</t>
  </si>
  <si>
    <t>적산량×2400</t>
  </si>
  <si>
    <t>적산량×1200</t>
  </si>
  <si>
    <t>A</t>
  </si>
  <si>
    <t>전일</t>
    <phoneticPr fontId="16" type="noConversion"/>
  </si>
  <si>
    <t>1일</t>
    <phoneticPr fontId="10" type="noConversion"/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</si>
  <si>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</si>
  <si>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</si>
  <si>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</si>
  <si>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</si>
  <si>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</si>
  <si>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</si>
  <si>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</si>
  <si>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</si>
  <si>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</si>
  <si>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</si>
  <si>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</si>
  <si>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</si>
  <si>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</si>
  <si>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</si>
  <si>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</si>
  <si>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</si>
  <si>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</si>
  <si>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</si>
  <si>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</si>
  <si>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</si>
  <si>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</si>
  <si>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</si>
  <si>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</si>
  <si>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</si>
  <si>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</si>
  <si>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</si>
  <si>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</si>
  <si>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</si>
  <si>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</si>
  <si>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</si>
  <si>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계</t>
  </si>
  <si>
    <t>전류 MAX</t>
    <phoneticPr fontId="16" type="noConversion"/>
  </si>
  <si>
    <t xml:space="preserve"> </t>
  </si>
  <si>
    <t>구 분</t>
    <phoneticPr fontId="16" type="noConversion"/>
  </si>
  <si>
    <t>NO2 INCOMMING</t>
  </si>
  <si>
    <t>51.52 S/S</t>
    <phoneticPr fontId="16" type="noConversion"/>
  </si>
  <si>
    <t>7,8 S/S</t>
    <phoneticPr fontId="16" type="noConversion"/>
  </si>
  <si>
    <t>53 S/S</t>
    <phoneticPr fontId="16" type="noConversion"/>
  </si>
  <si>
    <t>웰빙마트</t>
    <phoneticPr fontId="16" type="noConversion"/>
  </si>
  <si>
    <t>주민자치센터</t>
    <phoneticPr fontId="16" type="noConversion"/>
  </si>
  <si>
    <t>57,60 S/S</t>
    <phoneticPr fontId="16" type="noConversion"/>
  </si>
  <si>
    <t>휴먼센터</t>
    <phoneticPr fontId="16" type="noConversion"/>
  </si>
  <si>
    <t>적산량×2400</t>
    <phoneticPr fontId="16" type="noConversion"/>
  </si>
  <si>
    <t>NO 3 INCOMMING</t>
  </si>
  <si>
    <t>54.55 S/S</t>
  </si>
  <si>
    <t>백운쇼핑</t>
  </si>
  <si>
    <t>56 S/S</t>
  </si>
  <si>
    <t>백운아트홀</t>
    <phoneticPr fontId="16" type="noConversion"/>
  </si>
  <si>
    <t>백운 G/L</t>
    <phoneticPr fontId="16" type="noConversion"/>
  </si>
  <si>
    <t>기술교육센터</t>
    <phoneticPr fontId="16" type="noConversion"/>
  </si>
  <si>
    <t>제철회관</t>
    <phoneticPr fontId="16" type="noConversion"/>
  </si>
  <si>
    <t>적산량×1800</t>
    <phoneticPr fontId="16" type="noConversion"/>
  </si>
  <si>
    <t>전월</t>
    <phoneticPr fontId="16" type="noConversion"/>
  </si>
  <si>
    <t>-</t>
  </si>
  <si>
    <t>기술교육센터</t>
  </si>
  <si>
    <t>제철회관</t>
  </si>
  <si>
    <t>웰빙마트</t>
  </si>
  <si>
    <t>휴먼센터</t>
  </si>
  <si>
    <t>주택변전소 운전일지[Ⅱ]</t>
  </si>
  <si>
    <t>주택변전소 운전일지[Ⅰ]</t>
  </si>
  <si>
    <t>No.1,2 MAIN</t>
  </si>
  <si>
    <t>No.3 MAIN</t>
  </si>
  <si>
    <t>기가타운</t>
  </si>
  <si>
    <t>전압</t>
  </si>
  <si>
    <t>유효</t>
  </si>
  <si>
    <t>역률</t>
  </si>
  <si>
    <t>전류</t>
  </si>
  <si>
    <t>무효</t>
  </si>
  <si>
    <t>주파수</t>
  </si>
  <si>
    <t>전력</t>
  </si>
  <si>
    <t>역율</t>
  </si>
  <si>
    <t>적산량×3600</t>
  </si>
  <si>
    <t>V</t>
  </si>
  <si>
    <t>kW</t>
  </si>
  <si>
    <t>cosθ</t>
  </si>
  <si>
    <t>kVAR</t>
  </si>
  <si>
    <t>Hz</t>
  </si>
  <si>
    <t>kV</t>
  </si>
  <si>
    <t>실내온도</t>
  </si>
  <si>
    <t>동백</t>
  </si>
  <si>
    <t>6300~7200</t>
  </si>
  <si>
    <t>0~4800</t>
  </si>
  <si>
    <t>0.9±0.1</t>
  </si>
  <si>
    <t>0~200</t>
  </si>
  <si>
    <t>59.5~60.5</t>
  </si>
  <si>
    <t>0~2400</t>
  </si>
  <si>
    <t>0~350</t>
  </si>
  <si>
    <t>0~1200</t>
  </si>
  <si>
    <t>0~100</t>
  </si>
  <si>
    <t>21.0~23.9</t>
  </si>
  <si>
    <t>0~105</t>
  </si>
  <si>
    <t>0~3600</t>
  </si>
  <si>
    <t>0~1800</t>
  </si>
  <si>
    <t>0~150</t>
  </si>
  <si>
    <t>10~30℃</t>
  </si>
  <si>
    <t>0~85℃</t>
  </si>
  <si>
    <t>변압기온도</t>
  </si>
  <si>
    <t>(오일/권선)</t>
  </si>
  <si>
    <t>NO.1</t>
  </si>
  <si>
    <t>NO.2</t>
  </si>
  <si>
    <t>NO.3</t>
  </si>
  <si>
    <t>0~55℃</t>
  </si>
  <si>
    <t xml:space="preserve">No.3 </t>
  </si>
  <si>
    <t>54,55</t>
  </si>
  <si>
    <t>아트홀</t>
  </si>
  <si>
    <t>No.2</t>
  </si>
  <si>
    <t>7,8</t>
  </si>
  <si>
    <t>주민자치</t>
  </si>
  <si>
    <t>57,60</t>
  </si>
  <si>
    <t>제철학원</t>
  </si>
  <si>
    <t>몰오브</t>
  </si>
  <si>
    <t>12,16</t>
  </si>
  <si>
    <t>제철남초</t>
  </si>
  <si>
    <t>동백APT</t>
  </si>
  <si>
    <t>주택변전소 운전일지[Ⅲ]</t>
    <phoneticPr fontId="10" type="noConversion"/>
  </si>
  <si>
    <t>Main</t>
    <phoneticPr fontId="10" type="noConversion"/>
  </si>
  <si>
    <r>
      <t>주택변전소</t>
    </r>
    <r>
      <rPr>
        <b/>
        <sz val="8"/>
        <rFont val="굴림"/>
        <family val="2"/>
        <charset val="129"/>
      </rPr>
      <t xml:space="preserve"> 전류상한치</t>
    </r>
    <phoneticPr fontId="10" type="noConversion"/>
  </si>
  <si>
    <t>백은GL</t>
  </si>
  <si>
    <t>No.1</t>
    <phoneticPr fontId="10" type="noConversion"/>
  </si>
  <si>
    <t>구분</t>
    <phoneticPr fontId="10" type="noConversion"/>
  </si>
  <si>
    <t>특이사항</t>
    <phoneticPr fontId="10" type="noConversion"/>
  </si>
  <si>
    <t>전일 지침</t>
  </si>
  <si>
    <t>전일 지침</t>
    <phoneticPr fontId="10" type="noConversion"/>
  </si>
  <si>
    <t>56 S/S</t>
    <phoneticPr fontId="10" type="noConversion"/>
  </si>
  <si>
    <t>백운쇼핑</t>
    <phoneticPr fontId="10" type="noConversion"/>
  </si>
  <si>
    <t>No.3 6.6KV INCOMMING</t>
    <phoneticPr fontId="10" type="noConversion"/>
  </si>
  <si>
    <t>54,55 S/S</t>
    <phoneticPr fontId="10" type="noConversion"/>
  </si>
  <si>
    <t>No.2 6.6KV INCOMMING</t>
    <phoneticPr fontId="10" type="noConversion"/>
  </si>
  <si>
    <t>51,52 S/S</t>
    <phoneticPr fontId="10" type="noConversion"/>
  </si>
  <si>
    <t>7,8 S/S</t>
    <phoneticPr fontId="10" type="noConversion"/>
  </si>
  <si>
    <t xml:space="preserve">53 S/S </t>
    <phoneticPr fontId="10" type="noConversion"/>
  </si>
  <si>
    <t xml:space="preserve">웰빙마트 </t>
    <phoneticPr fontId="10" type="noConversion"/>
  </si>
  <si>
    <t>주민자치센타</t>
    <phoneticPr fontId="10" type="noConversion"/>
  </si>
  <si>
    <t>57,60 S/S</t>
    <phoneticPr fontId="10" type="noConversion"/>
  </si>
  <si>
    <t xml:space="preserve">휴먼센터 </t>
    <phoneticPr fontId="10" type="noConversion"/>
  </si>
  <si>
    <t xml:space="preserve">제철학원 </t>
    <phoneticPr fontId="10" type="noConversion"/>
  </si>
  <si>
    <t>동백APT,소내</t>
    <phoneticPr fontId="10" type="noConversion"/>
  </si>
  <si>
    <t>제철남초등학교</t>
    <phoneticPr fontId="10" type="noConversion"/>
  </si>
  <si>
    <t xml:space="preserve">6 S/S </t>
    <phoneticPr fontId="10" type="noConversion"/>
  </si>
  <si>
    <t xml:space="preserve">12,16 S/S </t>
    <phoneticPr fontId="10" type="noConversion"/>
  </si>
  <si>
    <t>18 S/S</t>
    <phoneticPr fontId="10" type="noConversion"/>
  </si>
  <si>
    <t>몰오브</t>
    <phoneticPr fontId="10" type="noConversion"/>
  </si>
  <si>
    <t>No.1 6.6KV INCOMMING</t>
    <phoneticPr fontId="10" type="noConversion"/>
  </si>
  <si>
    <t>지침(KW)</t>
  </si>
  <si>
    <t>사용량(KWH)</t>
  </si>
  <si>
    <t>최대(A)</t>
  </si>
  <si>
    <t>spare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</si>
</sst>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 * #,##0_ ;_ * \-#,##0_ ;_ * &quot;-&quot;_ ;_ @_ "/>
    <numFmt numFmtId="177" formatCode="0.0000000000000000_ "/>
    <numFmt numFmtId="178" formatCode="00&quot;/&quot;00"/>
    <numFmt numFmtId="179" formatCode="#,##0&quot; ℃&quot;"/>
  </numFmts>
  <fonts count="38">
    <font>
      <sz val="10"/>
      <color rgb="FF000000"/>
      <name val="Arial"/>
      <scheme val="minor"/>
    </font>
    <font>
      <sz val="11"/>
      <color theme="1"/>
      <name val="맑은 고딕"/>
      <family val="2"/>
      <charset val="129"/>
    </font>
    <font>
      <sz val="10"/>
      <name val="Arial"/>
      <family val="2"/>
    </font>
    <font>
      <sz val="11"/>
      <color rgb="FF000000"/>
      <name val="&quot;맑은 고딕&quot;"/>
      <family val="3"/>
      <charset val="129"/>
    </font>
    <font>
      <sz val="9"/>
      <color rgb="FF000000"/>
      <name val="굴림체"/>
      <family val="3"/>
      <charset val="129"/>
    </font>
    <font>
      <sz val="10"/>
      <color rgb="FF000000"/>
      <name val="굴림체"/>
      <family val="3"/>
      <charset val="129"/>
    </font>
    <font>
      <sz val="8"/>
      <color rgb="FF000000"/>
      <name val="굴림체"/>
      <family val="3"/>
      <charset val="129"/>
    </font>
    <font>
      <sz val="6"/>
      <color rgb="FF000000"/>
      <name val="굴림체"/>
      <family val="3"/>
      <charset val="129"/>
    </font>
    <font>
      <sz val="8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굴림체"/>
      <family val="3"/>
      <charset val="129"/>
    </font>
    <font>
      <sz val="10"/>
      <color theme="1"/>
      <name val="맑은 고딕"/>
      <family val="3"/>
      <charset val="129"/>
    </font>
    <font>
      <sz val="12"/>
      <name val="바탕체"/>
      <family val="1"/>
      <charset val="129"/>
    </font>
    <font>
      <b/>
      <u/>
      <sz val="24"/>
      <name val="궁서체"/>
      <family val="1"/>
      <charset val="129"/>
    </font>
    <font>
      <sz val="8"/>
      <name val="바탕체"/>
      <family val="1"/>
      <charset val="129"/>
    </font>
    <font>
      <sz val="12"/>
      <name val="굴림체"/>
      <family val="3"/>
      <charset val="129"/>
    </font>
    <font>
      <sz val="11"/>
      <name val="굴림체"/>
      <family val="3"/>
      <charset val="129"/>
    </font>
    <font>
      <sz val="10"/>
      <color indexed="17"/>
      <name val="굴림체"/>
      <family val="3"/>
      <charset val="129"/>
    </font>
    <font>
      <sz val="10"/>
      <name val="굴림체"/>
      <family val="3"/>
      <charset val="129"/>
    </font>
    <font>
      <sz val="11"/>
      <color indexed="10"/>
      <name val="굴림체"/>
      <family val="3"/>
      <charset val="129"/>
    </font>
    <font>
      <sz val="8"/>
      <name val="굴림체"/>
      <family val="3"/>
      <charset val="129"/>
    </font>
    <font>
      <sz val="11"/>
      <name val="돋움체"/>
      <family val="3"/>
      <charset val="129"/>
    </font>
    <font>
      <sz val="11"/>
      <name val="바탕체"/>
      <family val="1"/>
      <charset val="129"/>
    </font>
    <font>
      <sz val="13"/>
      <color rgb="FF000000"/>
      <name val="굴림체"/>
      <family val="3"/>
      <charset val="129"/>
    </font>
    <font>
      <sz val="8"/>
      <color theme="1"/>
      <name val="굴림"/>
      <family val="2"/>
      <charset val="129"/>
    </font>
    <font>
      <b/>
      <sz val="8"/>
      <name val="Arial"/>
      <family val="2"/>
      <scheme val="minor"/>
    </font>
    <font>
      <b/>
      <sz val="8"/>
      <name val="굴림"/>
      <family val="2"/>
      <charset val="129"/>
    </font>
    <font>
      <sz val="8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b/>
      <u/>
      <sz val="24"/>
      <name val="굴림"/>
      <family val="3"/>
      <charset val="129"/>
    </font>
    <font>
      <b/>
      <u/>
      <sz val="24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name val="돋움체"/>
      <family val="3"/>
      <charset val="129"/>
    </font>
    <font>
      <sz val="10"/>
      <name val="바탕체"/>
      <family val="1"/>
      <charset val="129"/>
    </font>
    <font>
      <sz val="12"/>
      <name val="돋움"/>
      <family val="3"/>
      <charset val="129"/>
    </font>
    <font>
      <b/>
      <u/>
      <sz val="26"/>
      <name val="굴림체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FF99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4" fillId="0" borderId="0"/>
    <xf numFmtId="176" fontId="14" fillId="0" borderId="0" applyFont="0" applyFill="0" applyBorder="0" applyAlignment="0" applyProtection="0"/>
    <xf numFmtId="0" fontId="1" fillId="0" borderId="0">
      <alignment vertical="center"/>
    </xf>
  </cellStyleXfs>
  <cellXfs count="211">
    <xf numFmtId="0" fontId="0" fillId="0" borderId="0" xfId="0"/>
    <xf numFmtId="0" fontId="4" fillId="0" borderId="0" xfId="0" applyFont="1" applyAlignment="1">
      <alignment horizontal="left"/>
    </xf>
    <xf numFmtId="20" fontId="4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17" fillId="0" borderId="0" xfId="1" applyFont="1" applyAlignment="1">
      <alignment vertical="center"/>
    </xf>
    <xf numFmtId="176" fontId="18" fillId="3" borderId="14" xfId="2" applyFont="1" applyFill="1" applyBorder="1" applyAlignment="1">
      <alignment horizontal="centerContinuous" vertical="center"/>
    </xf>
    <xf numFmtId="0" fontId="19" fillId="0" borderId="0" xfId="1" applyFont="1" applyAlignment="1">
      <alignment vertical="center"/>
    </xf>
    <xf numFmtId="176" fontId="18" fillId="3" borderId="19" xfId="2" applyFont="1" applyFill="1" applyBorder="1" applyAlignment="1">
      <alignment horizontal="centerContinuous" vertical="center"/>
    </xf>
    <xf numFmtId="0" fontId="20" fillId="0" borderId="0" xfId="1" applyFont="1" applyAlignment="1">
      <alignment vertical="center"/>
    </xf>
    <xf numFmtId="176" fontId="18" fillId="3" borderId="21" xfId="2" applyFont="1" applyFill="1" applyBorder="1" applyAlignment="1">
      <alignment horizontal="center" vertical="center" shrinkToFit="1"/>
    </xf>
    <xf numFmtId="0" fontId="20" fillId="0" borderId="0" xfId="1" applyFont="1" applyAlignment="1">
      <alignment horizontal="center" vertical="center"/>
    </xf>
    <xf numFmtId="0" fontId="17" fillId="4" borderId="0" xfId="1" applyFont="1" applyFill="1" applyAlignment="1">
      <alignment vertical="center"/>
    </xf>
    <xf numFmtId="176" fontId="18" fillId="5" borderId="21" xfId="2" applyFont="1" applyFill="1" applyBorder="1" applyAlignment="1">
      <alignment horizontal="right" vertical="center"/>
    </xf>
    <xf numFmtId="176" fontId="20" fillId="3" borderId="25" xfId="2" applyFont="1" applyFill="1" applyBorder="1" applyAlignment="1">
      <alignment horizontal="left" vertical="center"/>
    </xf>
    <xf numFmtId="176" fontId="20" fillId="0" borderId="25" xfId="2" applyFont="1" applyBorder="1" applyAlignment="1">
      <alignment horizontal="left" vertical="center"/>
    </xf>
    <xf numFmtId="176" fontId="18" fillId="0" borderId="26" xfId="2" applyFont="1" applyFill="1" applyBorder="1" applyAlignment="1">
      <alignment horizontal="left" vertical="center"/>
    </xf>
    <xf numFmtId="0" fontId="18" fillId="0" borderId="0" xfId="1" applyFont="1" applyAlignment="1">
      <alignment vertical="center"/>
    </xf>
    <xf numFmtId="0" fontId="21" fillId="0" borderId="0" xfId="1" applyFont="1" applyAlignment="1">
      <alignment vertical="center"/>
    </xf>
    <xf numFmtId="176" fontId="18" fillId="0" borderId="0" xfId="2" applyFont="1" applyFill="1" applyBorder="1" applyAlignment="1">
      <alignment horizontal="left" vertical="center"/>
    </xf>
    <xf numFmtId="176" fontId="18" fillId="0" borderId="26" xfId="2" applyFont="1" applyFill="1" applyBorder="1" applyAlignment="1">
      <alignment horizontal="right" vertical="center"/>
    </xf>
    <xf numFmtId="0" fontId="22" fillId="0" borderId="0" xfId="1" applyFont="1" applyAlignment="1">
      <alignment vertical="center"/>
    </xf>
    <xf numFmtId="0" fontId="22" fillId="4" borderId="0" xfId="1" applyFont="1" applyFill="1" applyAlignment="1">
      <alignment vertical="center"/>
    </xf>
    <xf numFmtId="176" fontId="18" fillId="0" borderId="26" xfId="2" applyFont="1" applyBorder="1" applyAlignment="1">
      <alignment horizontal="left" vertical="center"/>
    </xf>
    <xf numFmtId="176" fontId="18" fillId="0" borderId="34" xfId="2" applyFont="1" applyFill="1" applyBorder="1" applyAlignment="1">
      <alignment horizontal="left" vertical="center"/>
    </xf>
    <xf numFmtId="176" fontId="18" fillId="3" borderId="35" xfId="2" applyFont="1" applyFill="1" applyBorder="1" applyAlignment="1">
      <alignment horizontal="centerContinuous" vertical="center"/>
    </xf>
    <xf numFmtId="176" fontId="18" fillId="3" borderId="21" xfId="2" applyFont="1" applyFill="1" applyBorder="1" applyAlignment="1">
      <alignment horizontal="center" vertical="center"/>
    </xf>
    <xf numFmtId="176" fontId="18" fillId="4" borderId="21" xfId="2" applyFont="1" applyFill="1" applyBorder="1" applyAlignment="1">
      <alignment horizontal="right" vertical="center"/>
    </xf>
    <xf numFmtId="176" fontId="18" fillId="0" borderId="33" xfId="2" applyFont="1" applyFill="1" applyBorder="1" applyAlignment="1">
      <alignment horizontal="left" vertical="center"/>
    </xf>
    <xf numFmtId="0" fontId="23" fillId="0" borderId="0" xfId="1" applyFont="1" applyAlignment="1">
      <alignment horizontal="centerContinuous"/>
    </xf>
    <xf numFmtId="176" fontId="23" fillId="0" borderId="0" xfId="2" applyFont="1" applyAlignment="1">
      <alignment horizontal="centerContinuous"/>
    </xf>
    <xf numFmtId="176" fontId="23" fillId="0" borderId="0" xfId="2" applyFont="1" applyFill="1" applyAlignment="1">
      <alignment horizontal="centerContinuous"/>
    </xf>
    <xf numFmtId="0" fontId="24" fillId="0" borderId="0" xfId="1" applyFont="1"/>
    <xf numFmtId="0" fontId="14" fillId="0" borderId="0" xfId="1"/>
    <xf numFmtId="2" fontId="17" fillId="4" borderId="0" xfId="1" applyNumberFormat="1" applyFont="1" applyFill="1" applyAlignment="1">
      <alignment vertical="center"/>
    </xf>
    <xf numFmtId="177" fontId="17" fillId="4" borderId="0" xfId="1" applyNumberFormat="1" applyFont="1" applyFill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2" fillId="0" borderId="0" xfId="0" applyFont="1" applyAlignment="1">
      <alignment vertical="top" wrapText="1"/>
    </xf>
    <xf numFmtId="0" fontId="0" fillId="0" borderId="0" xfId="0" applyAlignment="1">
      <alignment horizontal="center"/>
    </xf>
    <xf numFmtId="0" fontId="26" fillId="0" borderId="0" xfId="0" applyFont="1" applyAlignment="1">
      <alignment horizontal="center"/>
    </xf>
    <xf numFmtId="0" fontId="27" fillId="0" borderId="0" xfId="0" applyFont="1"/>
    <xf numFmtId="0" fontId="25" fillId="0" borderId="0" xfId="3" applyFont="1" applyAlignment="1">
      <alignment vertical="center" wrapText="1"/>
    </xf>
    <xf numFmtId="0" fontId="9" fillId="0" borderId="0" xfId="0" applyFont="1" applyAlignment="1">
      <alignment horizontal="center"/>
    </xf>
    <xf numFmtId="0" fontId="29" fillId="0" borderId="0" xfId="3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30" fillId="0" borderId="0" xfId="3" applyFont="1" applyAlignment="1">
      <alignment horizontal="center" vertical="center" wrapText="1"/>
    </xf>
    <xf numFmtId="0" fontId="20" fillId="3" borderId="11" xfId="1" applyFont="1" applyFill="1" applyBorder="1" applyAlignment="1">
      <alignment horizontal="centerContinuous" vertical="center"/>
    </xf>
    <xf numFmtId="176" fontId="20" fillId="3" borderId="12" xfId="2" applyFont="1" applyFill="1" applyBorder="1" applyAlignment="1">
      <alignment horizontal="centerContinuous" vertical="center"/>
    </xf>
    <xf numFmtId="176" fontId="20" fillId="3" borderId="13" xfId="2" applyFont="1" applyFill="1" applyBorder="1" applyAlignment="1">
      <alignment horizontal="centerContinuous" vertical="center"/>
    </xf>
    <xf numFmtId="0" fontId="20" fillId="3" borderId="11" xfId="1" quotePrefix="1" applyFont="1" applyFill="1" applyBorder="1" applyAlignment="1">
      <alignment horizontal="left" vertical="center"/>
    </xf>
    <xf numFmtId="176" fontId="20" fillId="3" borderId="14" xfId="2" applyFont="1" applyFill="1" applyBorder="1" applyAlignment="1">
      <alignment horizontal="centerContinuous" vertical="center"/>
    </xf>
    <xf numFmtId="0" fontId="20" fillId="3" borderId="16" xfId="1" applyFont="1" applyFill="1" applyBorder="1" applyAlignment="1">
      <alignment horizontal="centerContinuous" vertical="center"/>
    </xf>
    <xf numFmtId="176" fontId="20" fillId="3" borderId="17" xfId="2" applyFont="1" applyFill="1" applyBorder="1" applyAlignment="1">
      <alignment horizontal="centerContinuous" vertical="center"/>
    </xf>
    <xf numFmtId="176" fontId="20" fillId="3" borderId="18" xfId="2" applyFont="1" applyFill="1" applyBorder="1" applyAlignment="1">
      <alignment horizontal="centerContinuous" vertical="center"/>
    </xf>
    <xf numFmtId="176" fontId="20" fillId="3" borderId="19" xfId="2" applyFont="1" applyFill="1" applyBorder="1" applyAlignment="1">
      <alignment horizontal="centerContinuous" vertical="center"/>
    </xf>
    <xf numFmtId="0" fontId="20" fillId="3" borderId="16" xfId="1" applyFont="1" applyFill="1" applyBorder="1" applyAlignment="1">
      <alignment horizontal="center" vertical="center"/>
    </xf>
    <xf numFmtId="176" fontId="20" fillId="3" borderId="16" xfId="2" applyFont="1" applyFill="1" applyBorder="1" applyAlignment="1">
      <alignment horizontal="center" vertical="center"/>
    </xf>
    <xf numFmtId="176" fontId="20" fillId="3" borderId="20" xfId="2" applyFont="1" applyFill="1" applyBorder="1" applyAlignment="1">
      <alignment horizontal="center" vertical="center"/>
    </xf>
    <xf numFmtId="176" fontId="20" fillId="3" borderId="21" xfId="2" applyFont="1" applyFill="1" applyBorder="1" applyAlignment="1">
      <alignment horizontal="center" vertical="center" shrinkToFit="1"/>
    </xf>
    <xf numFmtId="0" fontId="20" fillId="4" borderId="22" xfId="1" applyFont="1" applyFill="1" applyBorder="1" applyAlignment="1">
      <alignment horizontal="centerContinuous" vertical="center"/>
    </xf>
    <xf numFmtId="2" fontId="20" fillId="0" borderId="16" xfId="1" applyNumberFormat="1" applyFont="1" applyBorder="1" applyAlignment="1">
      <alignment horizontal="right" vertical="center"/>
    </xf>
    <xf numFmtId="176" fontId="20" fillId="5" borderId="16" xfId="2" applyFont="1" applyFill="1" applyBorder="1" applyAlignment="1">
      <alignment horizontal="right" vertical="center"/>
    </xf>
    <xf numFmtId="176" fontId="20" fillId="0" borderId="16" xfId="1" applyNumberFormat="1" applyFont="1" applyBorder="1" applyAlignment="1">
      <alignment horizontal="right" vertical="center"/>
    </xf>
    <xf numFmtId="1" fontId="20" fillId="0" borderId="16" xfId="1" applyNumberFormat="1" applyFont="1" applyBorder="1" applyAlignment="1">
      <alignment horizontal="right" vertical="center"/>
    </xf>
    <xf numFmtId="176" fontId="20" fillId="0" borderId="16" xfId="2" applyFont="1" applyFill="1" applyBorder="1" applyAlignment="1">
      <alignment horizontal="right" vertical="center"/>
    </xf>
    <xf numFmtId="0" fontId="20" fillId="4" borderId="0" xfId="1" applyFont="1" applyFill="1" applyAlignment="1">
      <alignment vertical="center"/>
    </xf>
    <xf numFmtId="2" fontId="20" fillId="5" borderId="16" xfId="1" applyNumberFormat="1" applyFont="1" applyFill="1" applyBorder="1" applyAlignment="1">
      <alignment horizontal="right" vertical="center"/>
    </xf>
    <xf numFmtId="2" fontId="20" fillId="0" borderId="25" xfId="1" applyNumberFormat="1" applyFont="1" applyBorder="1" applyAlignment="1">
      <alignment horizontal="left" vertical="center"/>
    </xf>
    <xf numFmtId="176" fontId="20" fillId="0" borderId="25" xfId="2" applyFont="1" applyFill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176" fontId="20" fillId="0" borderId="29" xfId="2" applyFont="1" applyBorder="1" applyAlignment="1">
      <alignment horizontal="left" vertical="center"/>
    </xf>
    <xf numFmtId="2" fontId="20" fillId="0" borderId="29" xfId="1" applyNumberFormat="1" applyFont="1" applyBorder="1" applyAlignment="1">
      <alignment horizontal="left" vertical="center"/>
    </xf>
    <xf numFmtId="176" fontId="20" fillId="0" borderId="29" xfId="2" applyFont="1" applyFill="1" applyBorder="1" applyAlignment="1">
      <alignment horizontal="left" vertical="center"/>
    </xf>
    <xf numFmtId="0" fontId="20" fillId="0" borderId="29" xfId="1" applyFont="1" applyBorder="1" applyAlignment="1">
      <alignment horizontal="left" vertical="center"/>
    </xf>
    <xf numFmtId="176" fontId="20" fillId="0" borderId="29" xfId="2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176" fontId="20" fillId="0" borderId="0" xfId="2" applyFont="1" applyFill="1" applyBorder="1" applyAlignment="1">
      <alignment horizontal="center" vertical="center"/>
    </xf>
    <xf numFmtId="176" fontId="20" fillId="0" borderId="0" xfId="2" applyFont="1" applyFill="1" applyBorder="1" applyAlignment="1">
      <alignment horizontal="left" vertical="center"/>
    </xf>
    <xf numFmtId="2" fontId="20" fillId="0" borderId="0" xfId="1" applyNumberFormat="1" applyFont="1" applyAlignment="1">
      <alignment horizontal="left" vertical="center"/>
    </xf>
    <xf numFmtId="0" fontId="20" fillId="0" borderId="0" xfId="1" applyFont="1" applyAlignment="1">
      <alignment horizontal="left" vertical="center"/>
    </xf>
    <xf numFmtId="0" fontId="20" fillId="0" borderId="0" xfId="1" applyFont="1" applyAlignment="1">
      <alignment horizontal="centerContinuous" vertical="center"/>
    </xf>
    <xf numFmtId="176" fontId="20" fillId="0" borderId="0" xfId="2" applyFont="1" applyAlignment="1">
      <alignment horizontal="left" vertical="center"/>
    </xf>
    <xf numFmtId="176" fontId="20" fillId="0" borderId="0" xfId="2" applyFont="1" applyFill="1" applyAlignment="1">
      <alignment horizontal="left" vertical="center"/>
    </xf>
    <xf numFmtId="0" fontId="20" fillId="3" borderId="30" xfId="1" applyFont="1" applyFill="1" applyBorder="1" applyAlignment="1">
      <alignment horizontal="centerContinuous" vertical="center"/>
    </xf>
    <xf numFmtId="176" fontId="20" fillId="3" borderId="31" xfId="2" applyFont="1" applyFill="1" applyBorder="1" applyAlignment="1">
      <alignment horizontal="centerContinuous" vertical="center"/>
    </xf>
    <xf numFmtId="176" fontId="20" fillId="3" borderId="32" xfId="2" applyFont="1" applyFill="1" applyBorder="1" applyAlignment="1">
      <alignment horizontal="centerContinuous" vertical="center"/>
    </xf>
    <xf numFmtId="2" fontId="20" fillId="0" borderId="16" xfId="2" applyNumberFormat="1" applyFont="1" applyFill="1" applyBorder="1" applyAlignment="1">
      <alignment horizontal="right" vertical="center"/>
    </xf>
    <xf numFmtId="176" fontId="20" fillId="0" borderId="34" xfId="2" applyFont="1" applyFill="1" applyBorder="1" applyAlignment="1">
      <alignment horizontal="center" vertical="center"/>
    </xf>
    <xf numFmtId="176" fontId="20" fillId="0" borderId="34" xfId="2" applyFont="1" applyFill="1" applyBorder="1" applyAlignment="1">
      <alignment horizontal="left" vertical="center"/>
    </xf>
    <xf numFmtId="0" fontId="20" fillId="3" borderId="31" xfId="1" applyFont="1" applyFill="1" applyBorder="1" applyAlignment="1">
      <alignment horizontal="center" vertical="center"/>
    </xf>
    <xf numFmtId="176" fontId="20" fillId="3" borderId="31" xfId="2" applyFont="1" applyFill="1" applyBorder="1" applyAlignment="1">
      <alignment horizontal="center" vertical="center"/>
    </xf>
    <xf numFmtId="0" fontId="20" fillId="3" borderId="30" xfId="1" applyFont="1" applyFill="1" applyBorder="1" applyAlignment="1">
      <alignment horizontal="center" vertical="center"/>
    </xf>
    <xf numFmtId="176" fontId="20" fillId="3" borderId="32" xfId="2" applyFont="1" applyFill="1" applyBorder="1" applyAlignment="1">
      <alignment horizontal="center" vertical="center"/>
    </xf>
    <xf numFmtId="0" fontId="20" fillId="3" borderId="30" xfId="1" quotePrefix="1" applyFont="1" applyFill="1" applyBorder="1" applyAlignment="1">
      <alignment horizontal="center" vertical="center"/>
    </xf>
    <xf numFmtId="2" fontId="20" fillId="3" borderId="16" xfId="1" applyNumberFormat="1" applyFont="1" applyFill="1" applyBorder="1" applyAlignment="1">
      <alignment horizontal="right" vertical="center"/>
    </xf>
    <xf numFmtId="176" fontId="20" fillId="3" borderId="16" xfId="2" quotePrefix="1" applyFont="1" applyFill="1" applyBorder="1" applyAlignment="1">
      <alignment horizontal="center" vertical="center"/>
    </xf>
    <xf numFmtId="176" fontId="20" fillId="3" borderId="20" xfId="2" applyFont="1" applyFill="1" applyBorder="1" applyAlignment="1">
      <alignment horizontal="center" vertical="center" shrinkToFit="1"/>
    </xf>
    <xf numFmtId="2" fontId="20" fillId="4" borderId="16" xfId="1" applyNumberFormat="1" applyFont="1" applyFill="1" applyBorder="1" applyAlignment="1">
      <alignment horizontal="right" vertical="center"/>
    </xf>
    <xf numFmtId="176" fontId="20" fillId="4" borderId="16" xfId="2" applyFont="1" applyFill="1" applyBorder="1" applyAlignment="1">
      <alignment horizontal="right" vertical="center"/>
    </xf>
    <xf numFmtId="176" fontId="20" fillId="0" borderId="20" xfId="2" applyFont="1" applyFill="1" applyBorder="1" applyAlignment="1">
      <alignment horizontal="right" vertical="center"/>
    </xf>
    <xf numFmtId="176" fontId="20" fillId="0" borderId="36" xfId="2" applyFont="1" applyBorder="1" applyAlignment="1">
      <alignment horizontal="left" vertical="center"/>
    </xf>
    <xf numFmtId="176" fontId="20" fillId="0" borderId="36" xfId="2" applyFont="1" applyFill="1" applyBorder="1" applyAlignment="1">
      <alignment horizontal="left" vertical="center"/>
    </xf>
    <xf numFmtId="176" fontId="20" fillId="0" borderId="36" xfId="2" applyFont="1" applyFill="1" applyBorder="1" applyAlignment="1">
      <alignment horizontal="center" vertical="center"/>
    </xf>
    <xf numFmtId="176" fontId="20" fillId="0" borderId="36" xfId="2" applyFont="1" applyBorder="1" applyAlignment="1">
      <alignment horizontal="center" vertical="center"/>
    </xf>
    <xf numFmtId="176" fontId="20" fillId="0" borderId="9" xfId="2" applyFont="1" applyBorder="1" applyAlignment="1">
      <alignment horizontal="left" vertical="center"/>
    </xf>
    <xf numFmtId="0" fontId="34" fillId="0" borderId="0" xfId="1" applyFont="1" applyAlignment="1">
      <alignment horizontal="centerContinuous"/>
    </xf>
    <xf numFmtId="0" fontId="34" fillId="0" borderId="0" xfId="1" applyFont="1" applyAlignment="1">
      <alignment horizontal="left"/>
    </xf>
    <xf numFmtId="176" fontId="34" fillId="0" borderId="0" xfId="2" applyFont="1" applyAlignment="1">
      <alignment horizontal="centerContinuous"/>
    </xf>
    <xf numFmtId="176" fontId="34" fillId="0" borderId="0" xfId="2" applyFont="1" applyFill="1" applyAlignment="1">
      <alignment horizontal="centerContinuous"/>
    </xf>
    <xf numFmtId="0" fontId="35" fillId="0" borderId="0" xfId="1" applyFont="1"/>
    <xf numFmtId="0" fontId="36" fillId="5" borderId="48" xfId="0" applyFont="1" applyFill="1" applyBorder="1" applyAlignment="1">
      <alignment vertical="center"/>
    </xf>
    <xf numFmtId="0" fontId="36" fillId="5" borderId="49" xfId="0" applyFont="1" applyFill="1" applyBorder="1" applyAlignment="1">
      <alignment vertical="center"/>
    </xf>
    <xf numFmtId="0" fontId="31" fillId="5" borderId="48" xfId="1" applyFont="1" applyFill="1" applyBorder="1" applyAlignment="1">
      <alignment vertical="center"/>
    </xf>
    <xf numFmtId="176" fontId="20" fillId="7" borderId="16" xfId="1" applyNumberFormat="1" applyFont="1" applyFill="1" applyBorder="1" applyAlignment="1">
      <alignment horizontal="right" vertical="center"/>
    </xf>
    <xf numFmtId="176" fontId="20" fillId="7" borderId="16" xfId="2" applyFont="1" applyFill="1" applyBorder="1" applyAlignment="1">
      <alignment horizontal="right" vertical="center"/>
    </xf>
    <xf numFmtId="176" fontId="20" fillId="7" borderId="16" xfId="2" applyFont="1" applyFill="1" applyBorder="1" applyAlignment="1">
      <alignment horizontal="center" vertical="center"/>
    </xf>
    <xf numFmtId="176" fontId="18" fillId="0" borderId="33" xfId="2" applyFont="1" applyFill="1" applyBorder="1" applyAlignment="1">
      <alignment horizontal="right" vertical="center"/>
    </xf>
    <xf numFmtId="176" fontId="20" fillId="0" borderId="47" xfId="2" applyFont="1" applyFill="1" applyBorder="1" applyAlignment="1">
      <alignment horizontal="right" vertical="center"/>
    </xf>
    <xf numFmtId="176" fontId="18" fillId="0" borderId="50" xfId="2" applyFont="1" applyFill="1" applyBorder="1" applyAlignment="1">
      <alignment horizontal="right" vertical="center"/>
    </xf>
    <xf numFmtId="0" fontId="37" fillId="0" borderId="51" xfId="1" applyFont="1" applyBorder="1"/>
    <xf numFmtId="176" fontId="20" fillId="5" borderId="29" xfId="2" applyFont="1" applyFill="1" applyBorder="1" applyAlignment="1">
      <alignment horizontal="center" vertical="center"/>
    </xf>
    <xf numFmtId="176" fontId="20" fillId="5" borderId="36" xfId="2" applyFont="1" applyFill="1" applyBorder="1" applyAlignment="1">
      <alignment horizontal="center" vertical="center"/>
    </xf>
    <xf numFmtId="176" fontId="20" fillId="8" borderId="36" xfId="2" applyFont="1" applyFill="1" applyBorder="1" applyAlignment="1">
      <alignment horizontal="left" vertical="center"/>
    </xf>
    <xf numFmtId="2" fontId="20" fillId="6" borderId="16" xfId="1" applyNumberFormat="1" applyFont="1" applyFill="1" applyBorder="1" applyAlignment="1">
      <alignment horizontal="right" vertical="center"/>
    </xf>
    <xf numFmtId="0" fontId="1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4" fillId="0" borderId="44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4" fillId="0" borderId="6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3" fillId="0" borderId="53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0" fontId="4" fillId="0" borderId="9" xfId="0" applyNumberFormat="1" applyFont="1" applyBorder="1" applyAlignment="1">
      <alignment horizontal="center"/>
    </xf>
    <xf numFmtId="0" fontId="4" fillId="0" borderId="46" xfId="0" applyFont="1" applyBorder="1"/>
    <xf numFmtId="0" fontId="12" fillId="0" borderId="40" xfId="0" applyFont="1" applyBorder="1" applyAlignment="1">
      <alignment vertical="top" wrapText="1"/>
    </xf>
    <xf numFmtId="0" fontId="12" fillId="0" borderId="41" xfId="0" applyFont="1" applyBorder="1" applyAlignment="1">
      <alignment vertical="top" wrapText="1"/>
    </xf>
    <xf numFmtId="0" fontId="4" fillId="0" borderId="2" xfId="0" applyFont="1" applyBorder="1"/>
    <xf numFmtId="0" fontId="4" fillId="0" borderId="3" xfId="0" applyFont="1" applyBorder="1"/>
    <xf numFmtId="0" fontId="4" fillId="0" borderId="45" xfId="0" applyFont="1" applyBorder="1"/>
    <xf numFmtId="0" fontId="5" fillId="0" borderId="3" xfId="0" applyFont="1" applyBorder="1"/>
    <xf numFmtId="0" fontId="5" fillId="0" borderId="45" xfId="0" applyFont="1" applyBorder="1"/>
    <xf numFmtId="178" fontId="4" fillId="0" borderId="3" xfId="0" applyNumberFormat="1" applyFont="1" applyBorder="1" applyAlignment="1">
      <alignment horizontal="center"/>
    </xf>
    <xf numFmtId="179" fontId="4" fillId="0" borderId="3" xfId="0" applyNumberFormat="1" applyFont="1" applyBorder="1"/>
    <xf numFmtId="179" fontId="4" fillId="0" borderId="45" xfId="0" applyNumberFormat="1" applyFont="1" applyBorder="1"/>
    <xf numFmtId="0" fontId="12" fillId="0" borderId="42" xfId="0" applyFont="1" applyBorder="1" applyAlignment="1">
      <alignment vertical="top" wrapText="1"/>
    </xf>
    <xf numFmtId="0" fontId="0" fillId="0" borderId="34" xfId="0" applyBorder="1" applyAlignment="1">
      <alignment horizontal="center"/>
    </xf>
    <xf numFmtId="0" fontId="0" fillId="0" borderId="34" xfId="0" applyBorder="1"/>
    <xf numFmtId="0" fontId="12" fillId="0" borderId="34" xfId="0" applyFont="1" applyBorder="1" applyAlignment="1">
      <alignment vertical="top" wrapText="1"/>
    </xf>
    <xf numFmtId="0" fontId="12" fillId="0" borderId="43" xfId="0" applyFont="1" applyBorder="1" applyAlignment="1">
      <alignment vertical="top" wrapText="1"/>
    </xf>
    <xf numFmtId="0" fontId="6" fillId="0" borderId="0" xfId="0" applyFont="1" applyAlignment="1">
      <alignment horizontal="center"/>
    </xf>
    <xf numFmtId="0" fontId="6" fillId="0" borderId="9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5" fillId="0" borderId="9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/>
    <xf numFmtId="0" fontId="3" fillId="0" borderId="54" xfId="0" applyFont="1" applyBorder="1" applyAlignment="1">
      <alignment horizontal="left"/>
    </xf>
    <xf numFmtId="0" fontId="27" fillId="0" borderId="0" xfId="0" applyFont="1" applyAlignment="1">
      <alignment horizontal="center"/>
    </xf>
    <xf numFmtId="0" fontId="4" fillId="0" borderId="20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2" fillId="0" borderId="9" xfId="0" applyFont="1" applyBorder="1" applyAlignment="1">
      <alignment horizontal="center" vertical="top" wrapText="1"/>
    </xf>
    <xf numFmtId="0" fontId="11" fillId="0" borderId="20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20" fillId="8" borderId="39" xfId="1" applyFont="1" applyFill="1" applyBorder="1" applyAlignment="1">
      <alignment horizontal="center" vertical="center"/>
    </xf>
    <xf numFmtId="0" fontId="20" fillId="8" borderId="38" xfId="1" applyFont="1" applyFill="1" applyBorder="1" applyAlignment="1">
      <alignment horizontal="center" vertical="center"/>
    </xf>
    <xf numFmtId="0" fontId="32" fillId="0" borderId="0" xfId="1" applyFont="1" applyAlignment="1">
      <alignment horizontal="left" shrinkToFit="1"/>
    </xf>
    <xf numFmtId="0" fontId="15" fillId="0" borderId="0" xfId="1" applyFont="1" applyAlignment="1">
      <alignment horizontal="left" shrinkToFit="1"/>
    </xf>
    <xf numFmtId="0" fontId="20" fillId="3" borderId="10" xfId="1" applyFont="1" applyFill="1" applyBorder="1" applyAlignment="1">
      <alignment horizontal="center" vertical="center"/>
    </xf>
    <xf numFmtId="0" fontId="20" fillId="3" borderId="15" xfId="1" applyFont="1" applyFill="1" applyBorder="1" applyAlignment="1">
      <alignment horizontal="center" vertical="center"/>
    </xf>
    <xf numFmtId="0" fontId="20" fillId="0" borderId="23" xfId="1" applyFont="1" applyBorder="1" applyAlignment="1">
      <alignment horizontal="center" vertical="center"/>
    </xf>
    <xf numFmtId="0" fontId="20" fillId="0" borderId="24" xfId="1" applyFont="1" applyBorder="1" applyAlignment="1">
      <alignment horizontal="center" vertical="center"/>
    </xf>
    <xf numFmtId="0" fontId="20" fillId="8" borderId="27" xfId="1" applyFont="1" applyFill="1" applyBorder="1" applyAlignment="1">
      <alignment horizontal="center" vertical="center"/>
    </xf>
    <xf numFmtId="0" fontId="20" fillId="8" borderId="28" xfId="1" applyFont="1" applyFill="1" applyBorder="1" applyAlignment="1">
      <alignment horizontal="center" vertical="center"/>
    </xf>
    <xf numFmtId="0" fontId="20" fillId="3" borderId="36" xfId="1" applyFont="1" applyFill="1" applyBorder="1" applyAlignment="1">
      <alignment horizontal="center" vertical="center"/>
    </xf>
    <xf numFmtId="0" fontId="20" fillId="3" borderId="37" xfId="1" applyFont="1" applyFill="1" applyBorder="1" applyAlignment="1">
      <alignment horizontal="center" vertical="center"/>
    </xf>
    <xf numFmtId="0" fontId="20" fillId="3" borderId="38" xfId="1" applyFont="1" applyFill="1" applyBorder="1" applyAlignment="1">
      <alignment horizontal="center" vertical="center"/>
    </xf>
    <xf numFmtId="176" fontId="20" fillId="0" borderId="21" xfId="2" applyFont="1" applyFill="1" applyBorder="1" applyAlignment="1">
      <alignment horizontal="right" vertical="center"/>
    </xf>
    <xf numFmtId="176" fontId="20" fillId="5" borderId="21" xfId="2" applyFont="1" applyFill="1" applyBorder="1" applyAlignment="1">
      <alignment horizontal="right" vertical="center"/>
    </xf>
    <xf numFmtId="176" fontId="20" fillId="0" borderId="26" xfId="2" applyFont="1" applyFill="1" applyBorder="1" applyAlignment="1">
      <alignment horizontal="left" vertical="center"/>
    </xf>
    <xf numFmtId="176" fontId="20" fillId="8" borderId="29" xfId="2" applyFont="1" applyFill="1" applyBorder="1" applyAlignment="1">
      <alignment horizontal="left" vertical="center"/>
    </xf>
    <xf numFmtId="176" fontId="20" fillId="0" borderId="57" xfId="2" applyFont="1" applyFill="1" applyBorder="1" applyAlignment="1">
      <alignment horizontal="left" vertical="center"/>
    </xf>
  </cellXfs>
  <cellStyles count="4">
    <cellStyle name="쉼표 [0] 2" xfId="2" xr:uid="{68792C02-9920-4DD7-B9E5-042CD7A42DF8}"/>
    <cellStyle name="표준" xfId="0" builtinId="0"/>
    <cellStyle name="표준 2" xfId="1" xr:uid="{0BA7396C-1BF7-4ED3-8051-4CC81ED8EE5B}"/>
    <cellStyle name="표준 3" xfId="3" xr:uid="{D1F712AC-9A9A-40BE-9D9F-EBCE80E8738E}"/>
  </cellStyles>
  <dxfs count="112"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i val="0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i val="0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00FFFF"/>
          <bgColor rgb="FF00FFFF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00FFFF"/>
          <bgColor rgb="FF00FFFF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i val="0"/>
      </font>
      <fill>
        <patternFill patternType="solid">
          <fgColor rgb="FF00FFFF"/>
          <bgColor rgb="FF00FFFF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D5FBFF"/>
      <color rgb="FF99FF99"/>
      <color rgb="FFC9FFC9"/>
      <color rgb="FFEFFDFF"/>
      <color rgb="FFFFFFCC"/>
      <color rgb="FFCCFF99"/>
      <color rgb="FFCCECFF"/>
      <color rgb="FFFFF3F3"/>
      <color rgb="FFF6FC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4DB54-D648-414F-9307-D5DE0BBF1D9E}">
  <sheetPr>
    <outlinePr summaryBelow="0" summaryRight="0"/>
  </sheetPr>
  <dimension ref="A1:CS93"/>
  <sheetViews>
    <sheetView workbookViewId="0">
      <selection activeCell="N12" sqref="N12"/>
    </sheetView>
  </sheetViews>
  <sheetFormatPr defaultColWidth="12.5703125" defaultRowHeight="15.75" customHeight="1"/>
  <cols>
    <col min="1" max="1" width="3.85546875" customWidth="1"/>
    <col min="2" max="2" width="10.140625" customWidth="1"/>
    <col min="3" max="5" width="9.42578125" hidden="1" customWidth="1"/>
    <col min="6" max="7" width="10.5703125" customWidth="1"/>
    <col min="8" max="8" width="12.42578125" customWidth="1"/>
    <col min="9" max="9" width="9.7109375" customWidth="1"/>
    <col min="10" max="10" width="10.140625" customWidth="1"/>
    <col min="11" max="11" width="14.42578125" customWidth="1"/>
    <col min="12" max="12" width="11.42578125" customWidth="1"/>
    <col min="13" max="13" width="10.7109375" customWidth="1"/>
    <col min="14" max="14" width="10.28515625" customWidth="1"/>
    <col min="15" max="15" width="11.42578125" customWidth="1"/>
    <col min="16" max="16" width="10" customWidth="1"/>
    <col min="17" max="17" width="9.7109375" customWidth="1"/>
    <col min="18" max="18" width="10.7109375" customWidth="1"/>
    <col min="19" max="19" width="12.42578125" customWidth="1"/>
    <col min="20" max="20" width="11.7109375" customWidth="1"/>
    <col min="21" max="21" width="10.7109375" customWidth="1"/>
    <col min="22" max="27" width="10" customWidth="1"/>
    <col min="28" max="28" width="10.28515625" customWidth="1"/>
    <col min="29" max="33" width="10" customWidth="1"/>
    <col min="53" max="54" width="0" hidden="1" customWidth="1"/>
    <col min="97" max="97" width="2.7109375" customWidth="1"/>
  </cols>
  <sheetData>
    <row r="1" spans="1:97" ht="21" customHeight="1">
      <c r="A1" s="130">
        <v>1</v>
      </c>
      <c r="B1" s="7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1"/>
      <c r="BK1" s="131"/>
      <c r="BL1" s="131"/>
      <c r="BM1" s="131"/>
      <c r="BN1" s="131"/>
      <c r="BO1" s="131"/>
      <c r="BP1" s="131"/>
      <c r="BQ1" s="131"/>
      <c r="BR1" s="131"/>
      <c r="BS1" s="131"/>
      <c r="BT1" s="131"/>
      <c r="BU1" s="131"/>
      <c r="BV1" s="131"/>
      <c r="BW1" s="131"/>
      <c r="BX1" s="131"/>
      <c r="BY1" s="131"/>
      <c r="BZ1" s="131"/>
      <c r="CA1" s="131"/>
      <c r="CB1" s="3"/>
    </row>
    <row r="2" spans="1:97" ht="21" customHeight="1">
      <c r="B2" s="183" t="s">
        <v>130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5"/>
      <c r="BB2" s="175"/>
      <c r="BC2" s="175"/>
      <c r="BD2" s="175"/>
      <c r="BE2" s="175"/>
      <c r="BF2" s="175"/>
      <c r="BG2" s="175"/>
      <c r="BH2" s="175"/>
      <c r="BI2" s="175"/>
      <c r="BJ2" s="175"/>
      <c r="BK2" s="175"/>
      <c r="BL2" s="175"/>
      <c r="BM2" s="175"/>
      <c r="BN2" s="175"/>
      <c r="BO2" s="175"/>
      <c r="BP2" s="175"/>
      <c r="BQ2" s="175"/>
      <c r="BR2" s="175"/>
      <c r="BS2" s="175"/>
      <c r="BT2" s="175"/>
      <c r="BU2" s="175"/>
      <c r="BV2" s="175"/>
      <c r="BW2" s="175"/>
      <c r="BX2" s="175"/>
      <c r="BY2" s="175"/>
      <c r="BZ2" s="175"/>
      <c r="CA2" s="175"/>
      <c r="CB2" s="171"/>
      <c r="CC2" s="171"/>
      <c r="CD2" s="171"/>
      <c r="CE2" s="171"/>
      <c r="CF2" s="171"/>
      <c r="CG2" s="171"/>
      <c r="CH2" s="171"/>
      <c r="CI2" s="171"/>
      <c r="CJ2" s="171"/>
      <c r="CK2" s="171"/>
      <c r="CL2" s="171"/>
      <c r="CM2" s="173"/>
      <c r="CN2" s="173"/>
      <c r="CO2" s="173"/>
      <c r="CP2" s="173"/>
      <c r="CQ2" s="173"/>
      <c r="CR2" s="173"/>
      <c r="CS2" s="133"/>
    </row>
    <row r="3" spans="1:97" ht="12.75" customHeight="1">
      <c r="A3" s="1"/>
      <c r="B3" s="182" t="s">
        <v>135</v>
      </c>
      <c r="C3" s="174"/>
      <c r="D3" s="174"/>
      <c r="E3" s="135"/>
      <c r="F3" s="174" t="s">
        <v>141</v>
      </c>
      <c r="G3" s="174"/>
      <c r="H3" s="174"/>
      <c r="I3" s="174"/>
      <c r="J3" s="174"/>
      <c r="K3" s="174"/>
      <c r="L3" s="174"/>
      <c r="M3" s="174" t="s">
        <v>142</v>
      </c>
      <c r="N3" s="174"/>
      <c r="O3" s="174"/>
      <c r="P3" s="174" t="s">
        <v>140</v>
      </c>
      <c r="Q3" s="174"/>
      <c r="R3" s="174"/>
      <c r="S3" s="174" t="s">
        <v>139</v>
      </c>
      <c r="T3" s="174"/>
      <c r="U3" s="174"/>
      <c r="V3" s="172"/>
      <c r="W3" s="172"/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72"/>
      <c r="AI3" s="172"/>
      <c r="AJ3" s="172"/>
      <c r="AK3" s="172"/>
      <c r="AL3" s="172"/>
      <c r="AM3" s="172"/>
      <c r="AN3" s="172"/>
      <c r="AO3" s="172"/>
      <c r="AP3" s="172"/>
      <c r="AQ3" s="172"/>
      <c r="AR3" s="172"/>
      <c r="AS3" s="172"/>
      <c r="AT3" s="172"/>
      <c r="AU3" s="172"/>
      <c r="AV3" s="172"/>
      <c r="AW3" s="172"/>
      <c r="AX3" s="172"/>
      <c r="AY3" s="172"/>
      <c r="AZ3" s="172"/>
      <c r="BA3" s="172"/>
      <c r="BB3" s="172"/>
      <c r="BC3" s="172"/>
      <c r="BD3" s="172"/>
      <c r="BE3" s="172"/>
      <c r="BF3" s="172"/>
      <c r="BG3" s="172"/>
      <c r="BH3" s="172"/>
      <c r="BI3" s="172"/>
      <c r="BJ3" s="172"/>
      <c r="BK3" s="172"/>
      <c r="BL3" s="172"/>
      <c r="BM3" s="172"/>
      <c r="BN3" s="172"/>
      <c r="BO3" s="172"/>
      <c r="BP3" s="172"/>
      <c r="BQ3" s="172"/>
      <c r="BR3" s="172"/>
      <c r="BS3" s="172"/>
      <c r="BT3" s="172"/>
      <c r="BU3" s="172"/>
      <c r="BV3" s="172"/>
      <c r="BW3" s="172"/>
      <c r="BX3" s="172"/>
      <c r="BY3" s="172"/>
      <c r="BZ3" s="172"/>
      <c r="CA3" s="172"/>
      <c r="CB3" s="172"/>
      <c r="CC3" s="172"/>
      <c r="CD3" s="172"/>
      <c r="CE3" s="172"/>
      <c r="CF3" s="172"/>
      <c r="CG3" s="172"/>
      <c r="CH3" s="172"/>
      <c r="CI3" s="172"/>
      <c r="CJ3" s="172"/>
      <c r="CK3" s="172"/>
      <c r="CL3" s="172"/>
      <c r="CM3" s="172"/>
      <c r="CN3" s="172"/>
      <c r="CO3" s="172"/>
      <c r="CP3" s="172"/>
      <c r="CQ3" s="172"/>
      <c r="CR3" s="172"/>
      <c r="CS3" s="144"/>
    </row>
    <row r="4" spans="1:97" ht="12.75">
      <c r="A4" s="1"/>
      <c r="B4" s="182"/>
      <c r="C4" s="143"/>
      <c r="D4" s="143"/>
      <c r="E4" s="143"/>
      <c r="F4" s="143" t="s">
        <v>79</v>
      </c>
      <c r="G4" s="143" t="s">
        <v>80</v>
      </c>
      <c r="H4" s="143" t="s">
        <v>81</v>
      </c>
      <c r="I4" s="143" t="s">
        <v>82</v>
      </c>
      <c r="J4" s="143" t="s">
        <v>83</v>
      </c>
      <c r="K4" s="143" t="s">
        <v>84</v>
      </c>
      <c r="L4" s="170" t="s">
        <v>8</v>
      </c>
      <c r="M4" s="143" t="s">
        <v>85</v>
      </c>
      <c r="N4" s="143" t="s">
        <v>82</v>
      </c>
      <c r="O4" s="170" t="s">
        <v>11</v>
      </c>
      <c r="P4" s="143" t="s">
        <v>85</v>
      </c>
      <c r="Q4" s="143" t="s">
        <v>82</v>
      </c>
      <c r="R4" s="170" t="s">
        <v>11</v>
      </c>
      <c r="S4" s="143" t="s">
        <v>85</v>
      </c>
      <c r="T4" s="143" t="s">
        <v>82</v>
      </c>
      <c r="U4" s="170" t="s">
        <v>11</v>
      </c>
      <c r="V4" s="4"/>
      <c r="W4" s="4"/>
      <c r="X4" s="4"/>
      <c r="Y4" s="4"/>
      <c r="Z4" s="4"/>
      <c r="AA4" s="4"/>
      <c r="AB4" s="169"/>
      <c r="AC4" s="4"/>
      <c r="AD4" s="4"/>
      <c r="AE4" s="169"/>
      <c r="AF4" s="4"/>
      <c r="AG4" s="4"/>
      <c r="AH4" s="169"/>
      <c r="AI4" s="4"/>
      <c r="AJ4" s="4"/>
      <c r="AK4" s="169"/>
      <c r="AL4" s="4"/>
      <c r="AM4" s="4"/>
      <c r="AN4" s="169"/>
      <c r="AO4" s="4"/>
      <c r="AP4" s="4"/>
      <c r="AQ4" s="169"/>
      <c r="AR4" s="4"/>
      <c r="AS4" s="4"/>
      <c r="AT4" s="169"/>
      <c r="AU4" s="4"/>
      <c r="AV4" s="4"/>
      <c r="AW4" s="169"/>
      <c r="AX4" s="4"/>
      <c r="AY4" s="4"/>
      <c r="AZ4" s="169"/>
      <c r="BA4" s="4"/>
      <c r="BB4" s="4"/>
      <c r="BC4" s="4"/>
      <c r="BD4" s="4"/>
      <c r="BE4" s="4"/>
      <c r="BF4" s="4"/>
      <c r="BG4" s="4"/>
      <c r="BH4" s="4"/>
      <c r="BI4" s="169"/>
      <c r="BJ4" s="4"/>
      <c r="BK4" s="4"/>
      <c r="BL4" s="169"/>
      <c r="BM4" s="4"/>
      <c r="BN4" s="4"/>
      <c r="BO4" s="169"/>
      <c r="BP4" s="4"/>
      <c r="BQ4" s="4"/>
      <c r="BR4" s="169"/>
      <c r="BS4" s="4"/>
      <c r="BT4" s="4"/>
      <c r="BU4" s="169"/>
      <c r="BV4" s="4"/>
      <c r="BW4" s="4"/>
      <c r="BX4" s="169"/>
      <c r="BY4" s="4"/>
      <c r="BZ4" s="4"/>
      <c r="CA4" s="169"/>
      <c r="CB4" s="4"/>
      <c r="CC4" s="4"/>
      <c r="CD4" s="169"/>
      <c r="CE4" s="4"/>
      <c r="CF4" s="4"/>
      <c r="CG4" s="4"/>
      <c r="CH4" s="4"/>
      <c r="CI4" s="40"/>
      <c r="CJ4" s="4"/>
      <c r="CK4" s="4"/>
      <c r="CL4" s="169"/>
      <c r="CM4" s="4"/>
      <c r="CN4" s="4"/>
      <c r="CO4" s="4"/>
      <c r="CP4" s="4"/>
      <c r="CQ4" s="4"/>
      <c r="CR4" s="4"/>
      <c r="CS4" s="4"/>
    </row>
    <row r="5" spans="1:97" ht="12.75">
      <c r="A5" s="1"/>
      <c r="B5" s="182"/>
      <c r="C5" s="143"/>
      <c r="D5" s="143"/>
      <c r="E5" s="143"/>
      <c r="F5" s="143" t="s">
        <v>88</v>
      </c>
      <c r="G5" s="143" t="s">
        <v>89</v>
      </c>
      <c r="H5" s="143" t="s">
        <v>90</v>
      </c>
      <c r="I5" s="143" t="s">
        <v>13</v>
      </c>
      <c r="J5" s="143" t="s">
        <v>91</v>
      </c>
      <c r="K5" s="143" t="s">
        <v>92</v>
      </c>
      <c r="L5" s="135" t="s">
        <v>138</v>
      </c>
      <c r="M5" s="143" t="s">
        <v>89</v>
      </c>
      <c r="N5" s="143" t="s">
        <v>13</v>
      </c>
      <c r="O5" s="135" t="s">
        <v>138</v>
      </c>
      <c r="P5" s="143" t="s">
        <v>89</v>
      </c>
      <c r="Q5" s="143" t="s">
        <v>13</v>
      </c>
      <c r="R5" s="135" t="s">
        <v>138</v>
      </c>
      <c r="S5" s="143" t="s">
        <v>89</v>
      </c>
      <c r="T5" s="143" t="s">
        <v>13</v>
      </c>
      <c r="U5" s="135" t="s">
        <v>138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</row>
    <row r="6" spans="1:97" s="7" customFormat="1" ht="12.75">
      <c r="A6" s="144"/>
      <c r="B6" s="182"/>
      <c r="C6" s="135"/>
      <c r="D6" s="135"/>
      <c r="E6" s="135"/>
      <c r="F6" s="135" t="s">
        <v>96</v>
      </c>
      <c r="G6" s="135" t="s">
        <v>97</v>
      </c>
      <c r="H6" s="135" t="s">
        <v>98</v>
      </c>
      <c r="I6" s="135" t="s">
        <v>99</v>
      </c>
      <c r="J6" s="135" t="s">
        <v>97</v>
      </c>
      <c r="K6" s="135" t="s">
        <v>100</v>
      </c>
      <c r="L6" s="135"/>
      <c r="M6" s="135" t="s">
        <v>101</v>
      </c>
      <c r="N6" s="135" t="s">
        <v>99</v>
      </c>
      <c r="O6" s="135"/>
      <c r="P6" s="135" t="s">
        <v>101</v>
      </c>
      <c r="Q6" s="135" t="s">
        <v>99</v>
      </c>
      <c r="R6" s="135"/>
      <c r="S6" s="135" t="s">
        <v>101</v>
      </c>
      <c r="T6" s="135" t="s">
        <v>99</v>
      </c>
      <c r="U6" s="135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L6" s="144"/>
      <c r="AM6" s="144"/>
      <c r="AN6" s="144"/>
      <c r="AO6" s="144"/>
      <c r="AP6" s="144"/>
      <c r="AQ6" s="144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4"/>
      <c r="BN6" s="144"/>
      <c r="BO6" s="144"/>
      <c r="BP6" s="144"/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44"/>
      <c r="CD6" s="144"/>
      <c r="CE6" s="144"/>
      <c r="CF6" s="144"/>
      <c r="CG6" s="144"/>
      <c r="CH6" s="144"/>
      <c r="CI6" s="144"/>
      <c r="CJ6" s="144"/>
      <c r="CK6" s="144"/>
      <c r="CL6" s="144"/>
      <c r="CM6" s="144"/>
      <c r="CN6" s="144"/>
      <c r="CO6" s="144"/>
      <c r="CP6" s="144"/>
      <c r="CQ6" s="144"/>
      <c r="CR6" s="144"/>
      <c r="CS6" s="144"/>
    </row>
    <row r="7" spans="1:97" ht="19.5" customHeight="1">
      <c r="A7" s="2"/>
      <c r="B7" s="152">
        <v>0.25</v>
      </c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</row>
    <row r="8" spans="1:97" ht="19.5" customHeight="1">
      <c r="A8" s="2"/>
      <c r="B8" s="152">
        <v>0.41666666666666669</v>
      </c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</row>
    <row r="9" spans="1:97" ht="19.5" customHeight="1">
      <c r="A9" s="2"/>
      <c r="B9" s="152">
        <v>0.58333333333333337</v>
      </c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</row>
    <row r="10" spans="1:97" ht="19.5" customHeight="1">
      <c r="A10" s="2"/>
      <c r="B10" s="152">
        <v>0.70833333333333337</v>
      </c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</row>
    <row r="11" spans="1:97" ht="19.5" customHeight="1">
      <c r="A11" s="2"/>
      <c r="B11" s="152">
        <v>0.83333333333333337</v>
      </c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</row>
    <row r="12" spans="1:97" ht="19.5" customHeight="1">
      <c r="A12" s="2"/>
      <c r="B12" s="152">
        <v>0.91666666666666663</v>
      </c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</row>
    <row r="13" spans="1:97" ht="15.75" customHeight="1">
      <c r="A13" s="3"/>
      <c r="B13" s="132"/>
      <c r="C13" s="132"/>
      <c r="D13" s="44">
        <f>MAX(D7:D12)</f>
        <v>0</v>
      </c>
      <c r="E13" s="132"/>
      <c r="F13" s="150"/>
      <c r="G13" s="132"/>
      <c r="H13" s="132"/>
      <c r="I13" s="44"/>
      <c r="J13" s="132"/>
      <c r="K13" s="132"/>
      <c r="L13" s="132"/>
      <c r="M13" s="132"/>
      <c r="N13" s="44"/>
      <c r="O13" s="132"/>
      <c r="P13" s="132"/>
      <c r="Q13" s="44"/>
      <c r="R13" s="132"/>
      <c r="S13" s="132"/>
      <c r="T13" s="44"/>
      <c r="U13" s="132"/>
      <c r="V13" s="132"/>
      <c r="W13" s="132"/>
      <c r="X13" s="132"/>
      <c r="Y13" s="44"/>
      <c r="Z13" s="132"/>
      <c r="AA13" s="132"/>
      <c r="AB13" s="132"/>
      <c r="AC13" s="132"/>
      <c r="AD13" s="44"/>
      <c r="AE13" s="132"/>
      <c r="AF13" s="132"/>
      <c r="AG13" s="44"/>
      <c r="AH13" s="132"/>
      <c r="AI13" s="132"/>
      <c r="AJ13" s="44"/>
      <c r="AK13" s="132"/>
      <c r="AL13" s="132"/>
      <c r="AM13" s="44"/>
      <c r="AN13" s="132"/>
      <c r="AO13" s="132"/>
      <c r="AP13" s="44"/>
      <c r="AQ13" s="132"/>
      <c r="AR13" s="132"/>
      <c r="AS13" s="44"/>
      <c r="AT13" s="132"/>
      <c r="AU13" s="132"/>
      <c r="AV13" s="44"/>
      <c r="AW13" s="132"/>
      <c r="AX13" s="132"/>
      <c r="AY13" s="44"/>
      <c r="AZ13" s="132"/>
      <c r="BA13" s="132"/>
      <c r="BB13" s="44"/>
      <c r="BC13" s="132"/>
      <c r="BD13" s="132"/>
      <c r="BE13" s="132"/>
      <c r="BF13" s="44"/>
      <c r="BG13" s="132"/>
      <c r="BH13" s="132"/>
      <c r="BI13" s="132"/>
      <c r="BJ13" s="132"/>
      <c r="BK13" s="44"/>
      <c r="BL13" s="132"/>
      <c r="BM13" s="132"/>
      <c r="BN13" s="44"/>
      <c r="BO13" s="132"/>
      <c r="BP13" s="132"/>
      <c r="BQ13" s="44"/>
      <c r="BR13" s="132"/>
      <c r="BS13" s="132"/>
      <c r="BT13" s="44"/>
      <c r="BU13" s="132"/>
      <c r="BV13" s="132"/>
      <c r="BW13" s="44"/>
      <c r="BX13" s="132"/>
      <c r="BY13" s="132"/>
      <c r="BZ13" s="44"/>
      <c r="CA13" s="132"/>
      <c r="CB13" s="3"/>
      <c r="CD13" s="44"/>
      <c r="CF13" s="44"/>
      <c r="CH13" s="44"/>
      <c r="CK13" s="44"/>
      <c r="CN13" s="44"/>
      <c r="CP13" s="44"/>
      <c r="CR13" s="44"/>
      <c r="CS13" s="44"/>
    </row>
    <row r="14" spans="1:97" ht="15.75" customHeight="1">
      <c r="A14" s="3"/>
      <c r="B14" s="132"/>
      <c r="C14" s="132"/>
      <c r="D14" s="44"/>
      <c r="E14" s="132"/>
      <c r="F14" s="150"/>
      <c r="G14" s="132"/>
      <c r="H14" s="132"/>
      <c r="I14" s="44"/>
      <c r="J14" s="132"/>
      <c r="K14" s="132"/>
      <c r="L14" s="132"/>
      <c r="M14" s="132"/>
      <c r="N14" s="44"/>
      <c r="O14" s="132"/>
      <c r="P14" s="132"/>
      <c r="Q14" s="44"/>
      <c r="R14" s="132"/>
      <c r="S14" s="132"/>
      <c r="T14" s="44"/>
      <c r="U14" s="132"/>
      <c r="V14" s="132"/>
      <c r="W14" s="132"/>
      <c r="X14" s="132"/>
      <c r="Y14" s="44"/>
      <c r="Z14" s="132"/>
      <c r="AA14" s="132"/>
      <c r="AB14" s="132"/>
      <c r="AC14" s="132"/>
      <c r="AD14" s="44"/>
      <c r="AE14" s="132"/>
      <c r="AF14" s="132"/>
      <c r="AG14" s="44"/>
      <c r="AH14" s="132"/>
      <c r="AI14" s="132"/>
      <c r="AJ14" s="44"/>
      <c r="AK14" s="132"/>
      <c r="AL14" s="132"/>
      <c r="AM14" s="44"/>
      <c r="AN14" s="132"/>
      <c r="AO14" s="132"/>
      <c r="AP14" s="44"/>
      <c r="AQ14" s="132"/>
      <c r="AR14" s="132"/>
      <c r="AS14" s="44"/>
      <c r="AT14" s="132"/>
      <c r="AU14" s="132"/>
      <c r="AV14" s="44"/>
      <c r="AW14" s="132"/>
      <c r="AX14" s="132"/>
      <c r="AY14" s="44"/>
      <c r="AZ14" s="132"/>
      <c r="BA14" s="132"/>
      <c r="BB14" s="44"/>
      <c r="BC14" s="132"/>
      <c r="BD14" s="132"/>
      <c r="BE14" s="132"/>
      <c r="BF14" s="44"/>
      <c r="BG14" s="132"/>
      <c r="BH14" s="132"/>
      <c r="BI14" s="132"/>
      <c r="BJ14" s="132"/>
      <c r="BK14" s="44"/>
      <c r="BL14" s="132"/>
      <c r="BM14" s="132"/>
      <c r="BN14" s="44"/>
      <c r="BO14" s="132"/>
      <c r="BP14" s="132"/>
      <c r="BQ14" s="44"/>
      <c r="BR14" s="132"/>
      <c r="BS14" s="132"/>
      <c r="BT14" s="44"/>
      <c r="BU14" s="132"/>
      <c r="BV14" s="132"/>
      <c r="BW14" s="44"/>
      <c r="BX14" s="132"/>
      <c r="BY14" s="132"/>
      <c r="BZ14" s="44"/>
      <c r="CA14" s="132"/>
      <c r="CB14" s="3"/>
      <c r="CD14" s="44"/>
      <c r="CF14" s="44"/>
      <c r="CH14" s="44"/>
      <c r="CK14" s="44"/>
      <c r="CN14" s="44"/>
      <c r="CP14" s="44"/>
      <c r="CR14" s="44"/>
      <c r="CS14" s="44"/>
    </row>
    <row r="15" spans="1:97" ht="15.75" customHeight="1">
      <c r="A15" s="3"/>
      <c r="B15" s="151"/>
      <c r="C15" s="132"/>
      <c r="D15" s="44"/>
      <c r="E15" s="132"/>
      <c r="F15" s="177" t="s">
        <v>74</v>
      </c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32"/>
      <c r="AL15" s="132"/>
      <c r="AM15" s="44"/>
      <c r="AN15" s="132"/>
      <c r="AO15" s="132"/>
      <c r="AP15" s="44"/>
      <c r="AQ15" s="132"/>
      <c r="AR15" s="132"/>
      <c r="AS15" s="44"/>
      <c r="AT15" s="132"/>
      <c r="AU15" s="132"/>
      <c r="AV15" s="44"/>
      <c r="AW15" s="132"/>
      <c r="AX15" s="132"/>
      <c r="AY15" s="44"/>
      <c r="AZ15" s="132"/>
      <c r="BA15" s="132"/>
      <c r="BB15" s="44"/>
      <c r="BC15" s="132"/>
      <c r="BD15" s="132"/>
      <c r="BE15" s="132"/>
      <c r="BF15" s="44"/>
      <c r="BG15" s="132"/>
      <c r="BH15" s="132"/>
      <c r="BI15" s="132"/>
      <c r="BJ15" s="132"/>
      <c r="BK15" s="44"/>
      <c r="BL15" s="132"/>
      <c r="BM15" s="132"/>
      <c r="BN15" s="44"/>
      <c r="BO15" s="132"/>
      <c r="BP15" s="132"/>
      <c r="BQ15" s="44"/>
      <c r="BR15" s="132"/>
      <c r="BS15" s="132"/>
      <c r="BT15" s="44"/>
      <c r="BU15" s="132"/>
      <c r="BV15" s="132"/>
      <c r="BW15" s="44"/>
      <c r="BX15" s="132"/>
      <c r="BY15" s="132"/>
      <c r="BZ15" s="44"/>
      <c r="CA15" s="132"/>
      <c r="CB15" s="3"/>
      <c r="CD15" s="44"/>
      <c r="CF15" s="44"/>
      <c r="CH15" s="44"/>
      <c r="CK15" s="44"/>
      <c r="CN15" s="44"/>
      <c r="CP15" s="44"/>
      <c r="CR15" s="44"/>
      <c r="CS15" s="44"/>
    </row>
    <row r="16" spans="1:97" ht="15.75" customHeight="1">
      <c r="A16" s="3"/>
      <c r="B16" s="182" t="s">
        <v>135</v>
      </c>
      <c r="C16" s="132"/>
      <c r="D16" s="44"/>
      <c r="E16" s="132"/>
      <c r="F16" s="174" t="s">
        <v>143</v>
      </c>
      <c r="G16" s="174"/>
      <c r="H16" s="174"/>
      <c r="I16" s="174"/>
      <c r="J16" s="174"/>
      <c r="K16" s="174"/>
      <c r="L16" s="174"/>
      <c r="M16" s="174" t="s">
        <v>144</v>
      </c>
      <c r="N16" s="174"/>
      <c r="O16" s="174"/>
      <c r="P16" s="174" t="s">
        <v>145</v>
      </c>
      <c r="Q16" s="174"/>
      <c r="R16" s="174"/>
      <c r="S16" s="174" t="s">
        <v>146</v>
      </c>
      <c r="T16" s="174"/>
      <c r="U16" s="174"/>
      <c r="V16" s="174" t="s">
        <v>147</v>
      </c>
      <c r="W16" s="174"/>
      <c r="X16" s="174"/>
      <c r="Y16" s="174" t="s">
        <v>148</v>
      </c>
      <c r="Z16" s="174"/>
      <c r="AA16" s="174"/>
      <c r="AB16" s="174" t="s">
        <v>149</v>
      </c>
      <c r="AC16" s="174"/>
      <c r="AD16" s="174"/>
      <c r="AE16" s="174" t="s">
        <v>150</v>
      </c>
      <c r="AF16" s="174"/>
      <c r="AG16" s="174"/>
      <c r="AH16" s="174" t="s">
        <v>151</v>
      </c>
      <c r="AI16" s="174"/>
      <c r="AJ16" s="174"/>
      <c r="AK16" s="132"/>
      <c r="AL16" s="132"/>
      <c r="AM16" s="44"/>
      <c r="AN16" s="132"/>
      <c r="AO16" s="132"/>
      <c r="AP16" s="44"/>
      <c r="AQ16" s="132"/>
      <c r="AR16" s="132"/>
      <c r="AS16" s="44"/>
      <c r="AT16" s="132"/>
      <c r="AU16" s="132"/>
      <c r="AV16" s="44"/>
      <c r="AW16" s="132"/>
      <c r="AX16" s="132"/>
      <c r="AY16" s="44"/>
      <c r="AZ16" s="132"/>
      <c r="BA16" s="132"/>
      <c r="BB16" s="44"/>
      <c r="BC16" s="132"/>
      <c r="BD16" s="132"/>
      <c r="BE16" s="132"/>
      <c r="BF16" s="44"/>
      <c r="BG16" s="132"/>
      <c r="BH16" s="132"/>
      <c r="BI16" s="132"/>
      <c r="BJ16" s="132"/>
      <c r="BK16" s="44"/>
      <c r="BL16" s="132"/>
      <c r="BM16" s="132"/>
      <c r="BN16" s="44"/>
      <c r="BO16" s="132"/>
      <c r="BP16" s="132"/>
      <c r="BQ16" s="44"/>
      <c r="BR16" s="132"/>
      <c r="BS16" s="132"/>
      <c r="BT16" s="44"/>
      <c r="BU16" s="132"/>
      <c r="BV16" s="132"/>
      <c r="BW16" s="44"/>
      <c r="BX16" s="132"/>
      <c r="BY16" s="132"/>
      <c r="BZ16" s="44"/>
      <c r="CA16" s="132"/>
      <c r="CB16" s="3"/>
      <c r="CD16" s="44"/>
      <c r="CF16" s="44"/>
      <c r="CH16" s="44"/>
      <c r="CK16" s="44"/>
      <c r="CN16" s="44"/>
      <c r="CP16" s="44"/>
      <c r="CR16" s="44"/>
      <c r="CS16" s="44"/>
    </row>
    <row r="17" spans="1:97" ht="15.75" customHeight="1">
      <c r="A17" s="3"/>
      <c r="B17" s="182"/>
      <c r="C17" s="132"/>
      <c r="D17" s="44"/>
      <c r="E17" s="132"/>
      <c r="F17" s="137" t="s">
        <v>79</v>
      </c>
      <c r="G17" s="138" t="s">
        <v>80</v>
      </c>
      <c r="H17" s="138" t="s">
        <v>86</v>
      </c>
      <c r="I17" s="138" t="s">
        <v>82</v>
      </c>
      <c r="J17" s="138" t="s">
        <v>83</v>
      </c>
      <c r="K17" s="138" t="s">
        <v>84</v>
      </c>
      <c r="L17" s="139" t="s">
        <v>8</v>
      </c>
      <c r="M17" s="138" t="s">
        <v>85</v>
      </c>
      <c r="N17" s="138" t="s">
        <v>82</v>
      </c>
      <c r="O17" s="139" t="s">
        <v>11</v>
      </c>
      <c r="P17" s="138" t="s">
        <v>85</v>
      </c>
      <c r="Q17" s="138" t="s">
        <v>82</v>
      </c>
      <c r="R17" s="139" t="s">
        <v>12</v>
      </c>
      <c r="S17" s="138" t="s">
        <v>85</v>
      </c>
      <c r="T17" s="138" t="s">
        <v>82</v>
      </c>
      <c r="U17" s="139" t="s">
        <v>11</v>
      </c>
      <c r="V17" s="138" t="s">
        <v>85</v>
      </c>
      <c r="W17" s="138" t="s">
        <v>82</v>
      </c>
      <c r="X17" s="139" t="s">
        <v>12</v>
      </c>
      <c r="Y17" s="138" t="s">
        <v>85</v>
      </c>
      <c r="Z17" s="138" t="s">
        <v>82</v>
      </c>
      <c r="AA17" s="139" t="s">
        <v>11</v>
      </c>
      <c r="AB17" s="138" t="s">
        <v>85</v>
      </c>
      <c r="AC17" s="138" t="s">
        <v>82</v>
      </c>
      <c r="AD17" s="139" t="s">
        <v>12</v>
      </c>
      <c r="AE17" s="138" t="s">
        <v>85</v>
      </c>
      <c r="AF17" s="138" t="s">
        <v>82</v>
      </c>
      <c r="AG17" s="139" t="s">
        <v>12</v>
      </c>
      <c r="AH17" s="138" t="s">
        <v>85</v>
      </c>
      <c r="AI17" s="138" t="s">
        <v>82</v>
      </c>
      <c r="AJ17" s="139" t="s">
        <v>12</v>
      </c>
      <c r="AK17" s="132"/>
      <c r="AL17" s="132"/>
      <c r="AM17" s="44"/>
      <c r="AN17" s="132"/>
      <c r="AO17" s="132"/>
      <c r="AP17" s="44"/>
      <c r="AQ17" s="132"/>
      <c r="AR17" s="132"/>
      <c r="AS17" s="44"/>
      <c r="AT17" s="132"/>
      <c r="AU17" s="132"/>
      <c r="AV17" s="44"/>
      <c r="AW17" s="132"/>
      <c r="AX17" s="132"/>
      <c r="AY17" s="44"/>
      <c r="AZ17" s="132"/>
      <c r="BA17" s="132"/>
      <c r="BB17" s="44"/>
      <c r="BC17" s="132"/>
      <c r="BD17" s="132"/>
      <c r="BE17" s="132"/>
      <c r="BF17" s="44"/>
      <c r="BG17" s="132"/>
      <c r="BH17" s="132"/>
      <c r="BI17" s="132"/>
      <c r="BJ17" s="132"/>
      <c r="BK17" s="44"/>
      <c r="BL17" s="132"/>
      <c r="BM17" s="132"/>
      <c r="BN17" s="44"/>
      <c r="BO17" s="132"/>
      <c r="BP17" s="132"/>
      <c r="BQ17" s="44"/>
      <c r="BR17" s="132"/>
      <c r="BS17" s="132"/>
      <c r="BT17" s="44"/>
      <c r="BU17" s="132"/>
      <c r="BV17" s="132"/>
      <c r="BW17" s="44"/>
      <c r="BX17" s="132"/>
      <c r="BY17" s="132"/>
      <c r="BZ17" s="44"/>
      <c r="CA17" s="132"/>
      <c r="CB17" s="3"/>
      <c r="CD17" s="44"/>
      <c r="CF17" s="44"/>
      <c r="CH17" s="44"/>
      <c r="CK17" s="44"/>
      <c r="CN17" s="44"/>
      <c r="CP17" s="44"/>
      <c r="CR17" s="44"/>
      <c r="CS17" s="44"/>
    </row>
    <row r="18" spans="1:97" ht="15.75" customHeight="1">
      <c r="A18" s="3"/>
      <c r="B18" s="182"/>
      <c r="C18" s="132"/>
      <c r="D18" s="44"/>
      <c r="E18" s="132"/>
      <c r="F18" s="137" t="s">
        <v>88</v>
      </c>
      <c r="G18" s="136" t="s">
        <v>89</v>
      </c>
      <c r="H18" s="136" t="s">
        <v>90</v>
      </c>
      <c r="I18" s="136" t="s">
        <v>13</v>
      </c>
      <c r="J18" s="136" t="s">
        <v>91</v>
      </c>
      <c r="K18" s="136" t="s">
        <v>92</v>
      </c>
      <c r="L18" s="136" t="s">
        <v>137</v>
      </c>
      <c r="M18" s="136" t="s">
        <v>89</v>
      </c>
      <c r="N18" s="136" t="s">
        <v>13</v>
      </c>
      <c r="O18" s="136" t="s">
        <v>137</v>
      </c>
      <c r="P18" s="136" t="s">
        <v>89</v>
      </c>
      <c r="Q18" s="136" t="s">
        <v>13</v>
      </c>
      <c r="R18" s="136" t="s">
        <v>137</v>
      </c>
      <c r="S18" s="136" t="s">
        <v>89</v>
      </c>
      <c r="T18" s="136" t="s">
        <v>13</v>
      </c>
      <c r="U18" s="136" t="s">
        <v>137</v>
      </c>
      <c r="V18" s="136" t="s">
        <v>89</v>
      </c>
      <c r="W18" s="136" t="s">
        <v>13</v>
      </c>
      <c r="X18" s="136" t="s">
        <v>137</v>
      </c>
      <c r="Y18" s="136" t="s">
        <v>89</v>
      </c>
      <c r="Z18" s="136" t="s">
        <v>13</v>
      </c>
      <c r="AA18" s="136" t="s">
        <v>137</v>
      </c>
      <c r="AB18" s="136" t="s">
        <v>89</v>
      </c>
      <c r="AC18" s="136" t="s">
        <v>13</v>
      </c>
      <c r="AD18" s="136" t="s">
        <v>137</v>
      </c>
      <c r="AE18" s="136" t="s">
        <v>89</v>
      </c>
      <c r="AF18" s="136" t="s">
        <v>13</v>
      </c>
      <c r="AG18" s="136" t="s">
        <v>137</v>
      </c>
      <c r="AH18" s="136" t="s">
        <v>89</v>
      </c>
      <c r="AI18" s="136" t="s">
        <v>13</v>
      </c>
      <c r="AJ18" s="136" t="s">
        <v>137</v>
      </c>
      <c r="AK18" s="132"/>
      <c r="AL18" s="132"/>
      <c r="AM18" s="44"/>
      <c r="AN18" s="132"/>
      <c r="AO18" s="132"/>
      <c r="AP18" s="44"/>
      <c r="AQ18" s="132"/>
      <c r="AR18" s="132"/>
      <c r="AS18" s="44"/>
      <c r="AT18" s="132"/>
      <c r="AU18" s="132"/>
      <c r="AV18" s="44"/>
      <c r="AW18" s="132"/>
      <c r="AX18" s="132"/>
      <c r="AY18" s="44"/>
      <c r="AZ18" s="132"/>
      <c r="BA18" s="132"/>
      <c r="BB18" s="44"/>
      <c r="BC18" s="132"/>
      <c r="BD18" s="132"/>
      <c r="BE18" s="132"/>
      <c r="BF18" s="44"/>
      <c r="BG18" s="132"/>
      <c r="BH18" s="132"/>
      <c r="BI18" s="132"/>
      <c r="BJ18" s="132"/>
      <c r="BK18" s="44"/>
      <c r="BL18" s="132"/>
      <c r="BM18" s="132"/>
      <c r="BN18" s="44"/>
      <c r="BO18" s="132"/>
      <c r="BP18" s="132"/>
      <c r="BQ18" s="44"/>
      <c r="BR18" s="132"/>
      <c r="BS18" s="132"/>
      <c r="BT18" s="44"/>
      <c r="BU18" s="132"/>
      <c r="BV18" s="132"/>
      <c r="BW18" s="44"/>
      <c r="BX18" s="132"/>
      <c r="BY18" s="132"/>
      <c r="BZ18" s="44"/>
      <c r="CA18" s="132"/>
      <c r="CB18" s="3"/>
      <c r="CD18" s="44"/>
      <c r="CF18" s="44"/>
      <c r="CH18" s="44"/>
      <c r="CK18" s="44"/>
      <c r="CN18" s="44"/>
      <c r="CP18" s="44"/>
      <c r="CR18" s="44"/>
      <c r="CS18" s="44"/>
    </row>
    <row r="19" spans="1:97" ht="15.75" customHeight="1">
      <c r="A19" s="3"/>
      <c r="B19" s="182"/>
      <c r="C19" s="132"/>
      <c r="D19" s="44"/>
      <c r="E19" s="132"/>
      <c r="F19" s="146" t="s">
        <v>96</v>
      </c>
      <c r="G19" s="145" t="s">
        <v>97</v>
      </c>
      <c r="H19" s="145" t="s">
        <v>98</v>
      </c>
      <c r="I19" s="145" t="s">
        <v>102</v>
      </c>
      <c r="J19" s="145" t="s">
        <v>97</v>
      </c>
      <c r="K19" s="145" t="s">
        <v>100</v>
      </c>
      <c r="L19" s="145"/>
      <c r="M19" s="145" t="s">
        <v>101</v>
      </c>
      <c r="N19" s="145" t="s">
        <v>99</v>
      </c>
      <c r="O19" s="145"/>
      <c r="P19" s="145" t="s">
        <v>103</v>
      </c>
      <c r="Q19" s="145" t="s">
        <v>104</v>
      </c>
      <c r="R19" s="145"/>
      <c r="S19" s="145" t="s">
        <v>101</v>
      </c>
      <c r="T19" s="145" t="s">
        <v>99</v>
      </c>
      <c r="U19" s="145"/>
      <c r="V19" s="145" t="s">
        <v>103</v>
      </c>
      <c r="W19" s="145" t="s">
        <v>104</v>
      </c>
      <c r="X19" s="145"/>
      <c r="Y19" s="145" t="s">
        <v>101</v>
      </c>
      <c r="Z19" s="145" t="s">
        <v>99</v>
      </c>
      <c r="AA19" s="145"/>
      <c r="AB19" s="145" t="s">
        <v>103</v>
      </c>
      <c r="AC19" s="145" t="s">
        <v>104</v>
      </c>
      <c r="AD19" s="145"/>
      <c r="AE19" s="145" t="s">
        <v>103</v>
      </c>
      <c r="AF19" s="145" t="s">
        <v>104</v>
      </c>
      <c r="AG19" s="145"/>
      <c r="AH19" s="145" t="s">
        <v>103</v>
      </c>
      <c r="AI19" s="145" t="s">
        <v>104</v>
      </c>
      <c r="AJ19" s="145" t="s">
        <v>69</v>
      </c>
      <c r="AK19" s="132"/>
      <c r="AL19" s="132"/>
      <c r="AM19" s="44"/>
      <c r="AN19" s="132"/>
      <c r="AO19" s="132"/>
      <c r="AP19" s="44"/>
      <c r="AQ19" s="132"/>
      <c r="AR19" s="132"/>
      <c r="AS19" s="44"/>
      <c r="AT19" s="132"/>
      <c r="AU19" s="132"/>
      <c r="AV19" s="44"/>
      <c r="AW19" s="132"/>
      <c r="AX19" s="132"/>
      <c r="AY19" s="44"/>
      <c r="AZ19" s="132"/>
      <c r="BA19" s="132"/>
      <c r="BB19" s="44"/>
      <c r="BC19" s="132"/>
      <c r="BD19" s="132"/>
      <c r="BE19" s="132"/>
      <c r="BF19" s="44"/>
      <c r="BG19" s="132"/>
      <c r="BH19" s="132"/>
      <c r="BI19" s="132"/>
      <c r="BJ19" s="132"/>
      <c r="BK19" s="44"/>
      <c r="BL19" s="132"/>
      <c r="BM19" s="132"/>
      <c r="BN19" s="44"/>
      <c r="BO19" s="132"/>
      <c r="BP19" s="132"/>
      <c r="BQ19" s="44"/>
      <c r="BR19" s="132"/>
      <c r="BS19" s="132"/>
      <c r="BT19" s="44"/>
      <c r="BU19" s="132"/>
      <c r="BV19" s="132"/>
      <c r="BW19" s="44"/>
      <c r="BX19" s="132"/>
      <c r="BY19" s="132"/>
      <c r="BZ19" s="44"/>
      <c r="CA19" s="132"/>
      <c r="CB19" s="3"/>
      <c r="CD19" s="44"/>
      <c r="CF19" s="44"/>
      <c r="CH19" s="44"/>
      <c r="CK19" s="44"/>
      <c r="CN19" s="44"/>
      <c r="CP19" s="44"/>
      <c r="CR19" s="44"/>
      <c r="CS19" s="44"/>
    </row>
    <row r="20" spans="1:97" ht="15.75" customHeight="1">
      <c r="A20" s="3"/>
      <c r="B20" s="152">
        <v>0.25</v>
      </c>
      <c r="C20" s="132"/>
      <c r="D20" s="44"/>
      <c r="E20" s="132"/>
      <c r="F20" s="137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2"/>
      <c r="AL20" s="132"/>
      <c r="AM20" s="44"/>
      <c r="AN20" s="132"/>
      <c r="AO20" s="132"/>
      <c r="AP20" s="44"/>
      <c r="AQ20" s="132"/>
      <c r="AR20" s="132"/>
      <c r="AS20" s="44"/>
      <c r="AT20" s="132"/>
      <c r="AU20" s="132"/>
      <c r="AV20" s="44"/>
      <c r="AW20" s="132"/>
      <c r="AX20" s="132"/>
      <c r="AY20" s="44"/>
      <c r="AZ20" s="132"/>
      <c r="BA20" s="132"/>
      <c r="BB20" s="44"/>
      <c r="BC20" s="132"/>
      <c r="BD20" s="132"/>
      <c r="BE20" s="132"/>
      <c r="BF20" s="44"/>
      <c r="BG20" s="132"/>
      <c r="BH20" s="132"/>
      <c r="BI20" s="132"/>
      <c r="BJ20" s="132"/>
      <c r="BK20" s="44"/>
      <c r="BL20" s="132"/>
      <c r="BM20" s="132"/>
      <c r="BN20" s="44"/>
      <c r="BO20" s="132"/>
      <c r="BP20" s="132"/>
      <c r="BQ20" s="44"/>
      <c r="BR20" s="132"/>
      <c r="BS20" s="132"/>
      <c r="BT20" s="44"/>
      <c r="BU20" s="132"/>
      <c r="BV20" s="132"/>
      <c r="BW20" s="44"/>
      <c r="BX20" s="132"/>
      <c r="BY20" s="132"/>
      <c r="BZ20" s="44"/>
      <c r="CA20" s="132"/>
      <c r="CB20" s="3"/>
      <c r="CD20" s="44"/>
      <c r="CF20" s="44"/>
      <c r="CH20" s="44"/>
      <c r="CK20" s="44"/>
      <c r="CN20" s="44"/>
      <c r="CP20" s="44"/>
      <c r="CR20" s="44"/>
      <c r="CS20" s="44"/>
    </row>
    <row r="21" spans="1:97" ht="15.75" customHeight="1">
      <c r="A21" s="3"/>
      <c r="B21" s="147">
        <v>0.41666666666666669</v>
      </c>
      <c r="C21" s="132"/>
      <c r="D21" s="44"/>
      <c r="E21" s="132"/>
      <c r="F21" s="137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2"/>
      <c r="AL21" s="132"/>
      <c r="AM21" s="44"/>
      <c r="AN21" s="132"/>
      <c r="AO21" s="132"/>
      <c r="AP21" s="44"/>
      <c r="AQ21" s="132"/>
      <c r="AR21" s="132"/>
      <c r="AS21" s="44"/>
      <c r="AT21" s="132"/>
      <c r="AU21" s="132"/>
      <c r="AV21" s="44"/>
      <c r="AW21" s="132"/>
      <c r="AX21" s="132"/>
      <c r="AY21" s="44"/>
      <c r="AZ21" s="132"/>
      <c r="BA21" s="132"/>
      <c r="BB21" s="44"/>
      <c r="BC21" s="132"/>
      <c r="BD21" s="132"/>
      <c r="BE21" s="132"/>
      <c r="BF21" s="44"/>
      <c r="BG21" s="132"/>
      <c r="BH21" s="132"/>
      <c r="BI21" s="132"/>
      <c r="BJ21" s="132"/>
      <c r="BK21" s="44"/>
      <c r="BL21" s="132"/>
      <c r="BM21" s="132"/>
      <c r="BN21" s="44"/>
      <c r="BO21" s="132"/>
      <c r="BP21" s="132"/>
      <c r="BQ21" s="44"/>
      <c r="BR21" s="132"/>
      <c r="BS21" s="132"/>
      <c r="BT21" s="44"/>
      <c r="BU21" s="132"/>
      <c r="BV21" s="132"/>
      <c r="BW21" s="44"/>
      <c r="BX21" s="132"/>
      <c r="BY21" s="132"/>
      <c r="BZ21" s="44"/>
      <c r="CA21" s="132"/>
      <c r="CB21" s="3"/>
      <c r="CD21" s="44"/>
      <c r="CF21" s="44"/>
      <c r="CH21" s="44"/>
      <c r="CK21" s="44"/>
      <c r="CN21" s="44"/>
      <c r="CP21" s="44"/>
      <c r="CR21" s="44"/>
      <c r="CS21" s="44"/>
    </row>
    <row r="22" spans="1:97" ht="15.75" customHeight="1">
      <c r="A22" s="3"/>
      <c r="B22" s="147">
        <v>0.58333333333333337</v>
      </c>
      <c r="C22" s="132"/>
      <c r="D22" s="44"/>
      <c r="E22" s="132"/>
      <c r="F22" s="137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2"/>
      <c r="AL22" s="132"/>
      <c r="AM22" s="44"/>
      <c r="AN22" s="132"/>
      <c r="AO22" s="132"/>
      <c r="AP22" s="44"/>
      <c r="AQ22" s="132"/>
      <c r="AR22" s="132"/>
      <c r="AS22" s="44"/>
      <c r="AT22" s="132"/>
      <c r="AU22" s="132"/>
      <c r="AV22" s="44"/>
      <c r="AW22" s="132"/>
      <c r="AX22" s="132"/>
      <c r="AY22" s="44"/>
      <c r="AZ22" s="132"/>
      <c r="BA22" s="132"/>
      <c r="BB22" s="44"/>
      <c r="BC22" s="132"/>
      <c r="BD22" s="132"/>
      <c r="BE22" s="132"/>
      <c r="BF22" s="44"/>
      <c r="BG22" s="132"/>
      <c r="BH22" s="132"/>
      <c r="BI22" s="132"/>
      <c r="BJ22" s="132"/>
      <c r="BK22" s="44"/>
      <c r="BL22" s="132"/>
      <c r="BM22" s="132"/>
      <c r="BN22" s="44"/>
      <c r="BO22" s="132"/>
      <c r="BP22" s="132"/>
      <c r="BQ22" s="44"/>
      <c r="BR22" s="132"/>
      <c r="BS22" s="132"/>
      <c r="BT22" s="44"/>
      <c r="BU22" s="132"/>
      <c r="BV22" s="132"/>
      <c r="BW22" s="44"/>
      <c r="BX22" s="132"/>
      <c r="BY22" s="132"/>
      <c r="BZ22" s="44"/>
      <c r="CA22" s="132"/>
      <c r="CB22" s="3"/>
      <c r="CD22" s="44"/>
      <c r="CF22" s="44"/>
      <c r="CH22" s="44"/>
      <c r="CK22" s="44"/>
      <c r="CN22" s="44"/>
      <c r="CP22" s="44"/>
      <c r="CR22" s="44"/>
      <c r="CS22" s="44"/>
    </row>
    <row r="23" spans="1:97" ht="15.75" customHeight="1">
      <c r="A23" s="3"/>
      <c r="B23" s="147">
        <v>0.70833333333333337</v>
      </c>
      <c r="C23" s="132"/>
      <c r="D23" s="44"/>
      <c r="E23" s="132"/>
      <c r="F23" s="137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2"/>
      <c r="AL23" s="132"/>
      <c r="AM23" s="44"/>
      <c r="AN23" s="132"/>
      <c r="AO23" s="132"/>
      <c r="AP23" s="44"/>
      <c r="AQ23" s="132"/>
      <c r="AR23" s="132"/>
      <c r="AS23" s="44"/>
      <c r="AT23" s="132"/>
      <c r="AU23" s="132"/>
      <c r="AV23" s="44"/>
      <c r="AW23" s="132"/>
      <c r="AX23" s="132"/>
      <c r="AY23" s="44"/>
      <c r="AZ23" s="132"/>
      <c r="BA23" s="132"/>
      <c r="BB23" s="44"/>
      <c r="BC23" s="132"/>
      <c r="BD23" s="132"/>
      <c r="BE23" s="132"/>
      <c r="BF23" s="44"/>
      <c r="BG23" s="132"/>
      <c r="BH23" s="132"/>
      <c r="BI23" s="132"/>
      <c r="BJ23" s="132"/>
      <c r="BK23" s="44"/>
      <c r="BL23" s="132"/>
      <c r="BM23" s="132"/>
      <c r="BN23" s="44"/>
      <c r="BO23" s="132"/>
      <c r="BP23" s="132"/>
      <c r="BQ23" s="44"/>
      <c r="BR23" s="132"/>
      <c r="BS23" s="132"/>
      <c r="BT23" s="44"/>
      <c r="BU23" s="132"/>
      <c r="BV23" s="132"/>
      <c r="BW23" s="44"/>
      <c r="BX23" s="132"/>
      <c r="BY23" s="132"/>
      <c r="BZ23" s="44"/>
      <c r="CA23" s="132"/>
      <c r="CB23" s="3"/>
      <c r="CD23" s="44"/>
      <c r="CF23" s="44"/>
      <c r="CH23" s="44"/>
      <c r="CK23" s="44"/>
      <c r="CN23" s="44"/>
      <c r="CP23" s="44"/>
      <c r="CR23" s="44"/>
      <c r="CS23" s="44"/>
    </row>
    <row r="24" spans="1:97" ht="15.75" customHeight="1">
      <c r="A24" s="3"/>
      <c r="B24" s="147">
        <v>0.83333333333333337</v>
      </c>
      <c r="C24" s="132"/>
      <c r="D24" s="44"/>
      <c r="E24" s="132"/>
      <c r="F24" s="149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2"/>
      <c r="AL24" s="132"/>
      <c r="AM24" s="44"/>
      <c r="AN24" s="132"/>
      <c r="AO24" s="132"/>
      <c r="AP24" s="44"/>
      <c r="AQ24" s="132"/>
      <c r="AR24" s="132"/>
      <c r="AS24" s="44"/>
      <c r="AT24" s="132"/>
      <c r="AU24" s="132"/>
      <c r="AV24" s="44"/>
      <c r="AW24" s="132"/>
      <c r="AX24" s="132"/>
      <c r="AY24" s="44"/>
      <c r="AZ24" s="132"/>
      <c r="BA24" s="132"/>
      <c r="BB24" s="44"/>
      <c r="BC24" s="132"/>
      <c r="BD24" s="132"/>
      <c r="BE24" s="132"/>
      <c r="BF24" s="44"/>
      <c r="BG24" s="132"/>
      <c r="BH24" s="132"/>
      <c r="BI24" s="132"/>
      <c r="BJ24" s="132"/>
      <c r="BK24" s="44"/>
      <c r="BL24" s="132"/>
      <c r="BM24" s="132"/>
      <c r="BN24" s="44"/>
      <c r="BO24" s="132"/>
      <c r="BP24" s="132"/>
      <c r="BQ24" s="44"/>
      <c r="BR24" s="132"/>
      <c r="BS24" s="132"/>
      <c r="BT24" s="44"/>
      <c r="BU24" s="132"/>
      <c r="BV24" s="132"/>
      <c r="BW24" s="44"/>
      <c r="BX24" s="132"/>
      <c r="BY24" s="132"/>
      <c r="BZ24" s="44"/>
      <c r="CA24" s="132"/>
      <c r="CB24" s="3"/>
      <c r="CD24" s="44"/>
      <c r="CF24" s="44"/>
      <c r="CH24" s="44"/>
      <c r="CK24" s="44"/>
      <c r="CN24" s="44"/>
      <c r="CP24" s="44"/>
      <c r="CR24" s="44"/>
      <c r="CS24" s="44"/>
    </row>
    <row r="25" spans="1:97" ht="15.75" customHeight="1">
      <c r="A25" s="3"/>
      <c r="B25" s="147">
        <v>0.91666666666666663</v>
      </c>
      <c r="C25" s="132"/>
      <c r="D25" s="44"/>
      <c r="E25" s="132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2"/>
      <c r="AL25" s="132"/>
      <c r="AM25" s="44"/>
      <c r="AN25" s="132"/>
      <c r="AO25" s="132"/>
      <c r="AP25" s="44"/>
      <c r="AQ25" s="132"/>
      <c r="AR25" s="132"/>
      <c r="AS25" s="44"/>
      <c r="AT25" s="132"/>
      <c r="AU25" s="132"/>
      <c r="AV25" s="44"/>
      <c r="AW25" s="132"/>
      <c r="AX25" s="132"/>
      <c r="AY25" s="44"/>
      <c r="AZ25" s="132"/>
      <c r="BA25" s="132"/>
      <c r="BB25" s="44"/>
      <c r="BC25" s="132"/>
      <c r="BD25" s="132"/>
      <c r="BE25" s="132"/>
      <c r="BF25" s="44"/>
      <c r="BG25" s="132"/>
      <c r="BH25" s="132"/>
      <c r="BI25" s="132"/>
      <c r="BJ25" s="132"/>
      <c r="BK25" s="44"/>
      <c r="BL25" s="132"/>
      <c r="BM25" s="132"/>
      <c r="BN25" s="44"/>
      <c r="BO25" s="132"/>
      <c r="BP25" s="132"/>
      <c r="BQ25" s="44"/>
      <c r="BR25" s="132"/>
      <c r="BS25" s="132"/>
      <c r="BT25" s="44"/>
      <c r="BU25" s="132"/>
      <c r="BV25" s="132"/>
      <c r="BW25" s="44"/>
      <c r="BX25" s="132"/>
      <c r="BY25" s="132"/>
      <c r="BZ25" s="44"/>
      <c r="CA25" s="132"/>
      <c r="CB25" s="3"/>
      <c r="CD25" s="44"/>
      <c r="CF25" s="44"/>
      <c r="CH25" s="44"/>
      <c r="CK25" s="44"/>
      <c r="CN25" s="44"/>
      <c r="CP25" s="44"/>
      <c r="CR25" s="44"/>
      <c r="CS25" s="44"/>
    </row>
    <row r="26" spans="1:97" ht="15.75" customHeight="1">
      <c r="A26" s="3"/>
      <c r="B26" s="132"/>
      <c r="C26" s="132"/>
      <c r="D26" s="44"/>
      <c r="E26" s="132"/>
      <c r="F26" s="150"/>
      <c r="G26" s="132"/>
      <c r="H26" s="132"/>
      <c r="I26" s="44"/>
      <c r="J26" s="132"/>
      <c r="K26" s="132"/>
      <c r="L26" s="132"/>
      <c r="M26" s="132"/>
      <c r="N26" s="44"/>
      <c r="O26" s="132"/>
      <c r="P26" s="132"/>
      <c r="Q26" s="44"/>
      <c r="R26" s="132"/>
      <c r="S26" s="132"/>
      <c r="T26" s="44"/>
      <c r="U26" s="132"/>
      <c r="V26" s="132"/>
      <c r="W26" s="132"/>
      <c r="X26" s="132"/>
      <c r="Y26" s="44"/>
      <c r="Z26" s="132"/>
      <c r="AA26" s="132"/>
      <c r="AB26" s="132"/>
      <c r="AC26" s="132"/>
      <c r="AD26" s="44"/>
      <c r="AE26" s="132"/>
      <c r="AF26" s="132"/>
      <c r="AG26" s="44"/>
      <c r="AH26" s="132"/>
      <c r="AI26" s="132"/>
      <c r="AJ26" s="44"/>
      <c r="AK26" s="132"/>
      <c r="AL26" s="132"/>
      <c r="AM26" s="44"/>
      <c r="AN26" s="132"/>
      <c r="AO26" s="132"/>
      <c r="AP26" s="44"/>
      <c r="AQ26" s="132"/>
      <c r="AR26" s="132"/>
      <c r="AS26" s="44"/>
      <c r="AT26" s="132"/>
      <c r="AU26" s="132"/>
      <c r="AV26" s="44"/>
      <c r="AW26" s="132"/>
      <c r="AX26" s="132"/>
      <c r="AY26" s="44"/>
      <c r="AZ26" s="132"/>
      <c r="BA26" s="132"/>
      <c r="BB26" s="44"/>
      <c r="BC26" s="132"/>
      <c r="BD26" s="132"/>
      <c r="BE26" s="132"/>
      <c r="BF26" s="44"/>
      <c r="BG26" s="132"/>
      <c r="BH26" s="132"/>
      <c r="BI26" s="132"/>
      <c r="BJ26" s="132"/>
      <c r="BK26" s="44"/>
      <c r="BL26" s="132"/>
      <c r="BM26" s="132"/>
      <c r="BN26" s="44"/>
      <c r="BO26" s="132"/>
      <c r="BP26" s="132"/>
      <c r="BQ26" s="44"/>
      <c r="BR26" s="132"/>
      <c r="BS26" s="132"/>
      <c r="BT26" s="44"/>
      <c r="BU26" s="132"/>
      <c r="BV26" s="132"/>
      <c r="BW26" s="44"/>
      <c r="BX26" s="132"/>
      <c r="BY26" s="132"/>
      <c r="BZ26" s="44"/>
      <c r="CA26" s="132"/>
      <c r="CB26" s="3"/>
      <c r="CD26" s="44"/>
      <c r="CF26" s="44"/>
      <c r="CH26" s="44"/>
      <c r="CK26" s="44"/>
      <c r="CN26" s="44"/>
      <c r="CP26" s="44"/>
      <c r="CR26" s="44"/>
      <c r="CS26" s="44"/>
    </row>
    <row r="27" spans="1:97" ht="15.75" customHeight="1">
      <c r="A27" s="3"/>
      <c r="B27" s="132"/>
      <c r="C27" s="132"/>
      <c r="D27" s="44"/>
      <c r="E27" s="132"/>
      <c r="F27" s="192" t="s">
        <v>75</v>
      </c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44"/>
      <c r="AH27" s="132"/>
      <c r="AI27" s="132"/>
      <c r="AJ27" s="44"/>
      <c r="AK27" s="132"/>
      <c r="AL27" s="132"/>
      <c r="AM27" s="44"/>
      <c r="AN27" s="132"/>
      <c r="AO27" s="132"/>
      <c r="AP27" s="44"/>
      <c r="AQ27" s="132"/>
      <c r="AR27" s="132"/>
      <c r="AS27" s="44"/>
      <c r="AT27" s="132"/>
      <c r="AU27" s="132"/>
      <c r="AV27" s="44"/>
      <c r="AW27" s="132"/>
      <c r="AX27" s="132"/>
      <c r="AY27" s="44"/>
      <c r="AZ27" s="132"/>
      <c r="BA27" s="132"/>
      <c r="BB27" s="44"/>
      <c r="BC27" s="132"/>
      <c r="BD27" s="132"/>
      <c r="BE27" s="132"/>
      <c r="BF27" s="44"/>
      <c r="BG27" s="132"/>
      <c r="BH27" s="132"/>
      <c r="BI27" s="132"/>
      <c r="BJ27" s="132"/>
      <c r="BK27" s="44"/>
      <c r="BL27" s="132"/>
      <c r="BM27" s="132"/>
      <c r="BN27" s="44"/>
      <c r="BO27" s="132"/>
      <c r="BP27" s="132"/>
      <c r="BQ27" s="44"/>
      <c r="BR27" s="132"/>
      <c r="BS27" s="132"/>
      <c r="BT27" s="44"/>
      <c r="BU27" s="132"/>
      <c r="BV27" s="132"/>
      <c r="BW27" s="44"/>
      <c r="BX27" s="132"/>
      <c r="BY27" s="132"/>
      <c r="BZ27" s="44"/>
      <c r="CA27" s="132"/>
      <c r="CB27" s="3"/>
      <c r="CD27" s="44"/>
      <c r="CF27" s="44"/>
      <c r="CH27" s="44"/>
      <c r="CK27" s="44"/>
      <c r="CN27" s="44"/>
      <c r="CP27" s="44"/>
      <c r="CR27" s="44"/>
      <c r="CS27" s="44"/>
    </row>
    <row r="28" spans="1:97" ht="15.75" customHeight="1">
      <c r="A28" s="3"/>
      <c r="B28" s="182" t="s">
        <v>135</v>
      </c>
      <c r="C28" s="132"/>
      <c r="D28" s="44"/>
      <c r="E28" s="132"/>
      <c r="F28" s="174" t="s">
        <v>76</v>
      </c>
      <c r="G28" s="174"/>
      <c r="H28" s="174" t="s">
        <v>158</v>
      </c>
      <c r="I28" s="174"/>
      <c r="J28" s="174"/>
      <c r="K28" s="174"/>
      <c r="L28" s="174"/>
      <c r="M28" s="174"/>
      <c r="N28" s="174"/>
      <c r="O28" s="174" t="s">
        <v>157</v>
      </c>
      <c r="P28" s="174"/>
      <c r="Q28" s="174"/>
      <c r="R28" s="174" t="s">
        <v>156</v>
      </c>
      <c r="S28" s="174"/>
      <c r="T28" s="174"/>
      <c r="U28" s="174" t="s">
        <v>155</v>
      </c>
      <c r="V28" s="174"/>
      <c r="W28" s="174"/>
      <c r="X28" s="174" t="s">
        <v>154</v>
      </c>
      <c r="Y28" s="174"/>
      <c r="Z28" s="174"/>
      <c r="AA28" s="174" t="s">
        <v>153</v>
      </c>
      <c r="AB28" s="174"/>
      <c r="AC28" s="174"/>
      <c r="AD28" s="174" t="s">
        <v>152</v>
      </c>
      <c r="AE28" s="174"/>
      <c r="AF28" s="174"/>
      <c r="AG28" s="44"/>
      <c r="AH28" s="132"/>
      <c r="AI28" s="132"/>
      <c r="AJ28" s="44"/>
      <c r="AK28" s="132"/>
      <c r="AL28" s="132"/>
      <c r="AM28" s="44"/>
      <c r="AN28" s="132"/>
      <c r="AO28" s="132"/>
      <c r="AP28" s="44"/>
      <c r="AQ28" s="132"/>
      <c r="AR28" s="132"/>
      <c r="AS28" s="44"/>
      <c r="AT28" s="132"/>
      <c r="AU28" s="132"/>
      <c r="AV28" s="44"/>
      <c r="AW28" s="132"/>
      <c r="AX28" s="132"/>
      <c r="AY28" s="44"/>
      <c r="AZ28" s="132"/>
      <c r="BA28" s="132"/>
      <c r="BB28" s="44"/>
      <c r="BC28" s="132"/>
      <c r="BD28" s="132"/>
      <c r="BE28" s="132"/>
      <c r="BF28" s="44"/>
      <c r="BG28" s="132"/>
      <c r="BH28" s="132"/>
      <c r="BI28" s="132"/>
      <c r="BJ28" s="132"/>
      <c r="BK28" s="44"/>
      <c r="BL28" s="132"/>
      <c r="BM28" s="132"/>
      <c r="BN28" s="44"/>
      <c r="BO28" s="132"/>
      <c r="BP28" s="132"/>
      <c r="BQ28" s="44"/>
      <c r="BR28" s="132"/>
      <c r="BS28" s="132"/>
      <c r="BT28" s="44"/>
      <c r="BU28" s="132"/>
      <c r="BV28" s="132"/>
      <c r="BW28" s="44"/>
      <c r="BX28" s="132"/>
      <c r="BY28" s="132"/>
      <c r="BZ28" s="44"/>
      <c r="CA28" s="132"/>
      <c r="CB28" s="3"/>
      <c r="CD28" s="44"/>
      <c r="CF28" s="44"/>
      <c r="CH28" s="44"/>
      <c r="CK28" s="44"/>
      <c r="CN28" s="44"/>
      <c r="CP28" s="44"/>
      <c r="CR28" s="44"/>
      <c r="CS28" s="44"/>
    </row>
    <row r="29" spans="1:97" ht="15.75" customHeight="1">
      <c r="A29" s="3"/>
      <c r="B29" s="182"/>
      <c r="C29" s="132"/>
      <c r="D29" s="44"/>
      <c r="E29" s="132"/>
      <c r="F29" s="138" t="s">
        <v>79</v>
      </c>
      <c r="G29" s="138" t="s">
        <v>82</v>
      </c>
      <c r="H29" s="138" t="s">
        <v>79</v>
      </c>
      <c r="I29" s="138" t="s">
        <v>80</v>
      </c>
      <c r="J29" s="138" t="s">
        <v>86</v>
      </c>
      <c r="K29" s="138" t="s">
        <v>82</v>
      </c>
      <c r="L29" s="138" t="s">
        <v>83</v>
      </c>
      <c r="M29" s="138" t="s">
        <v>84</v>
      </c>
      <c r="N29" s="139" t="s">
        <v>8</v>
      </c>
      <c r="O29" s="138" t="s">
        <v>85</v>
      </c>
      <c r="P29" s="138" t="s">
        <v>82</v>
      </c>
      <c r="Q29" s="139" t="s">
        <v>87</v>
      </c>
      <c r="R29" s="138" t="s">
        <v>85</v>
      </c>
      <c r="S29" s="138" t="s">
        <v>82</v>
      </c>
      <c r="T29" s="139" t="s">
        <v>10</v>
      </c>
      <c r="U29" s="138" t="s">
        <v>85</v>
      </c>
      <c r="V29" s="138" t="s">
        <v>82</v>
      </c>
      <c r="W29" s="139" t="s">
        <v>10</v>
      </c>
      <c r="X29" s="138" t="s">
        <v>85</v>
      </c>
      <c r="Y29" s="138" t="s">
        <v>82</v>
      </c>
      <c r="Z29" s="139" t="s">
        <v>11</v>
      </c>
      <c r="AA29" s="138" t="s">
        <v>85</v>
      </c>
      <c r="AB29" s="138" t="s">
        <v>82</v>
      </c>
      <c r="AC29" s="139" t="s">
        <v>11</v>
      </c>
      <c r="AD29" s="138" t="s">
        <v>85</v>
      </c>
      <c r="AE29" s="138" t="s">
        <v>82</v>
      </c>
      <c r="AF29" s="140" t="s">
        <v>12</v>
      </c>
      <c r="AG29" s="44"/>
      <c r="AH29" s="132"/>
      <c r="AI29" s="132"/>
      <c r="AJ29" s="44"/>
      <c r="AK29" s="132"/>
      <c r="AL29" s="132"/>
      <c r="AM29" s="44"/>
      <c r="AN29" s="132"/>
      <c r="AO29" s="132"/>
      <c r="AP29" s="44"/>
      <c r="AQ29" s="132"/>
      <c r="AR29" s="132"/>
      <c r="AS29" s="44"/>
      <c r="AT29" s="132"/>
      <c r="AU29" s="132"/>
      <c r="AV29" s="44"/>
      <c r="AW29" s="132"/>
      <c r="AX29" s="132"/>
      <c r="AY29" s="44"/>
      <c r="AZ29" s="132"/>
      <c r="BA29" s="132"/>
      <c r="BB29" s="44"/>
      <c r="BC29" s="132"/>
      <c r="BD29" s="132"/>
      <c r="BE29" s="132"/>
      <c r="BF29" s="44"/>
      <c r="BG29" s="132"/>
      <c r="BH29" s="132"/>
      <c r="BI29" s="132"/>
      <c r="BJ29" s="132"/>
      <c r="BK29" s="44"/>
      <c r="BL29" s="132"/>
      <c r="BM29" s="132"/>
      <c r="BN29" s="44"/>
      <c r="BO29" s="132"/>
      <c r="BP29" s="132"/>
      <c r="BQ29" s="44"/>
      <c r="BR29" s="132"/>
      <c r="BS29" s="132"/>
      <c r="BT29" s="44"/>
      <c r="BU29" s="132"/>
      <c r="BV29" s="132"/>
      <c r="BW29" s="44"/>
      <c r="BX29" s="132"/>
      <c r="BY29" s="132"/>
      <c r="BZ29" s="44"/>
      <c r="CA29" s="132"/>
      <c r="CB29" s="3"/>
      <c r="CD29" s="44"/>
      <c r="CF29" s="44"/>
      <c r="CH29" s="44"/>
      <c r="CK29" s="44"/>
      <c r="CN29" s="44"/>
      <c r="CP29" s="44"/>
      <c r="CR29" s="44"/>
      <c r="CS29" s="44"/>
    </row>
    <row r="30" spans="1:97" ht="15.75" customHeight="1">
      <c r="A30" s="3"/>
      <c r="B30" s="182"/>
      <c r="C30" s="132"/>
      <c r="D30" s="44"/>
      <c r="E30" s="132"/>
      <c r="F30" s="136" t="s">
        <v>93</v>
      </c>
      <c r="G30" s="136" t="s">
        <v>13</v>
      </c>
      <c r="H30" s="136" t="s">
        <v>88</v>
      </c>
      <c r="I30" s="136" t="s">
        <v>89</v>
      </c>
      <c r="J30" s="136" t="s">
        <v>90</v>
      </c>
      <c r="K30" s="136" t="s">
        <v>13</v>
      </c>
      <c r="L30" s="136" t="s">
        <v>91</v>
      </c>
      <c r="M30" s="136" t="s">
        <v>92</v>
      </c>
      <c r="N30" s="136" t="s">
        <v>137</v>
      </c>
      <c r="O30" s="136" t="s">
        <v>89</v>
      </c>
      <c r="P30" s="136" t="s">
        <v>13</v>
      </c>
      <c r="Q30" s="136" t="s">
        <v>137</v>
      </c>
      <c r="R30" s="136" t="s">
        <v>89</v>
      </c>
      <c r="S30" s="136" t="s">
        <v>13</v>
      </c>
      <c r="T30" s="136" t="s">
        <v>137</v>
      </c>
      <c r="U30" s="136" t="s">
        <v>89</v>
      </c>
      <c r="V30" s="136" t="s">
        <v>13</v>
      </c>
      <c r="W30" s="136" t="s">
        <v>137</v>
      </c>
      <c r="X30" s="136" t="s">
        <v>89</v>
      </c>
      <c r="Y30" s="136" t="s">
        <v>13</v>
      </c>
      <c r="Z30" s="136" t="s">
        <v>137</v>
      </c>
      <c r="AA30" s="136" t="s">
        <v>89</v>
      </c>
      <c r="AB30" s="136" t="s">
        <v>13</v>
      </c>
      <c r="AC30" s="136" t="s">
        <v>137</v>
      </c>
      <c r="AD30" s="136" t="s">
        <v>89</v>
      </c>
      <c r="AE30" s="136" t="s">
        <v>13</v>
      </c>
      <c r="AF30" s="137" t="s">
        <v>137</v>
      </c>
      <c r="AG30" s="44"/>
      <c r="AH30" s="132"/>
      <c r="AI30" s="132"/>
      <c r="AJ30" s="44"/>
      <c r="AK30" s="132"/>
      <c r="AL30" s="132"/>
      <c r="AM30" s="44"/>
      <c r="AN30" s="132"/>
      <c r="AO30" s="132"/>
      <c r="AP30" s="44"/>
      <c r="AQ30" s="132"/>
      <c r="AR30" s="132"/>
      <c r="AS30" s="44"/>
      <c r="AT30" s="132"/>
      <c r="AU30" s="132"/>
      <c r="AV30" s="44"/>
      <c r="AW30" s="132"/>
      <c r="AX30" s="132"/>
      <c r="AY30" s="44"/>
      <c r="AZ30" s="132"/>
      <c r="BA30" s="132"/>
      <c r="BB30" s="44"/>
      <c r="BC30" s="132"/>
      <c r="BD30" s="132"/>
      <c r="BE30" s="132"/>
      <c r="BF30" s="44"/>
      <c r="BG30" s="132"/>
      <c r="BH30" s="132"/>
      <c r="BI30" s="132"/>
      <c r="BJ30" s="132"/>
      <c r="BK30" s="44"/>
      <c r="BL30" s="132"/>
      <c r="BM30" s="132"/>
      <c r="BN30" s="44"/>
      <c r="BO30" s="132"/>
      <c r="BP30" s="132"/>
      <c r="BQ30" s="44"/>
      <c r="BR30" s="132"/>
      <c r="BS30" s="132"/>
      <c r="BT30" s="44"/>
      <c r="BU30" s="132"/>
      <c r="BV30" s="132"/>
      <c r="BW30" s="44"/>
      <c r="BX30" s="132"/>
      <c r="BY30" s="132"/>
      <c r="BZ30" s="44"/>
      <c r="CA30" s="132"/>
      <c r="CB30" s="3"/>
      <c r="CD30" s="44"/>
      <c r="CF30" s="44"/>
      <c r="CH30" s="44"/>
      <c r="CK30" s="44"/>
      <c r="CN30" s="44"/>
      <c r="CP30" s="44"/>
      <c r="CR30" s="44"/>
      <c r="CS30" s="44"/>
    </row>
    <row r="31" spans="1:97" ht="15.75" customHeight="1">
      <c r="A31" s="3"/>
      <c r="B31" s="182"/>
      <c r="C31" s="132"/>
      <c r="D31" s="44"/>
      <c r="E31" s="132"/>
      <c r="F31" s="145" t="s">
        <v>105</v>
      </c>
      <c r="G31" s="145" t="s">
        <v>106</v>
      </c>
      <c r="H31" s="145" t="s">
        <v>96</v>
      </c>
      <c r="I31" s="145" t="s">
        <v>97</v>
      </c>
      <c r="J31" s="145" t="s">
        <v>98</v>
      </c>
      <c r="K31" s="145" t="s">
        <v>102</v>
      </c>
      <c r="L31" s="145" t="s">
        <v>97</v>
      </c>
      <c r="M31" s="145" t="s">
        <v>100</v>
      </c>
      <c r="N31" s="145"/>
      <c r="O31" s="145" t="s">
        <v>107</v>
      </c>
      <c r="P31" s="145">
        <v>320</v>
      </c>
      <c r="Q31" s="145"/>
      <c r="R31" s="145" t="s">
        <v>108</v>
      </c>
      <c r="S31" s="145">
        <v>150</v>
      </c>
      <c r="T31" s="145"/>
      <c r="U31" s="145" t="s">
        <v>108</v>
      </c>
      <c r="V31" s="145" t="s">
        <v>109</v>
      </c>
      <c r="W31" s="145"/>
      <c r="X31" s="145" t="s">
        <v>101</v>
      </c>
      <c r="Y31" s="145" t="s">
        <v>99</v>
      </c>
      <c r="Z31" s="145"/>
      <c r="AA31" s="145" t="s">
        <v>101</v>
      </c>
      <c r="AB31" s="145" t="s">
        <v>99</v>
      </c>
      <c r="AC31" s="145"/>
      <c r="AD31" s="145" t="s">
        <v>103</v>
      </c>
      <c r="AE31" s="145" t="s">
        <v>104</v>
      </c>
      <c r="AF31" s="146"/>
      <c r="AG31" s="44"/>
      <c r="AH31" s="132"/>
      <c r="AI31" s="132"/>
      <c r="AJ31" s="44"/>
      <c r="AK31" s="132"/>
      <c r="AL31" s="132"/>
      <c r="AM31" s="44"/>
      <c r="AN31" s="132"/>
      <c r="AO31" s="132"/>
      <c r="AP31" s="44"/>
      <c r="AQ31" s="132"/>
      <c r="AR31" s="132"/>
      <c r="AS31" s="44"/>
      <c r="AT31" s="132"/>
      <c r="AU31" s="132"/>
      <c r="AV31" s="44"/>
      <c r="AW31" s="132"/>
      <c r="AX31" s="132"/>
      <c r="AY31" s="44"/>
      <c r="AZ31" s="132"/>
      <c r="BA31" s="132"/>
      <c r="BB31" s="44"/>
      <c r="BC31" s="132"/>
      <c r="BD31" s="132"/>
      <c r="BE31" s="132"/>
      <c r="BF31" s="44"/>
      <c r="BG31" s="132"/>
      <c r="BH31" s="132"/>
      <c r="BI31" s="132"/>
      <c r="BJ31" s="132"/>
      <c r="BK31" s="44"/>
      <c r="BL31" s="132"/>
      <c r="BM31" s="132"/>
      <c r="BN31" s="44"/>
      <c r="BO31" s="132"/>
      <c r="BP31" s="132"/>
      <c r="BQ31" s="44"/>
      <c r="BR31" s="132"/>
      <c r="BS31" s="132"/>
      <c r="BT31" s="44"/>
      <c r="BU31" s="132"/>
      <c r="BV31" s="132"/>
      <c r="BW31" s="44"/>
      <c r="BX31" s="132"/>
      <c r="BY31" s="132"/>
      <c r="BZ31" s="44"/>
      <c r="CA31" s="132"/>
      <c r="CB31" s="3"/>
      <c r="CD31" s="44"/>
      <c r="CF31" s="44"/>
      <c r="CH31" s="44"/>
      <c r="CK31" s="44"/>
      <c r="CN31" s="44"/>
      <c r="CP31" s="44"/>
      <c r="CR31" s="44"/>
      <c r="CS31" s="44"/>
    </row>
    <row r="32" spans="1:97" ht="15.75" customHeight="1">
      <c r="A32" s="3"/>
      <c r="B32" s="152">
        <v>0.25</v>
      </c>
      <c r="C32" s="132"/>
      <c r="D32" s="44"/>
      <c r="E32" s="132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 cm="1">
        <f t="array" aca="1" ref="T32" ca="1">+B15:AJ32</f>
        <v>0</v>
      </c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7"/>
      <c r="AG32" s="44"/>
      <c r="AH32" s="132"/>
      <c r="AI32" s="132"/>
      <c r="AJ32" s="44"/>
      <c r="AK32" s="132"/>
      <c r="AL32" s="132"/>
      <c r="AM32" s="44"/>
      <c r="AN32" s="132"/>
      <c r="AO32" s="132"/>
      <c r="AP32" s="44"/>
      <c r="AQ32" s="132"/>
      <c r="AR32" s="132"/>
      <c r="AS32" s="44"/>
      <c r="AT32" s="132"/>
      <c r="AU32" s="132"/>
      <c r="AV32" s="44"/>
      <c r="AW32" s="132"/>
      <c r="AX32" s="132"/>
      <c r="AY32" s="44"/>
      <c r="AZ32" s="132"/>
      <c r="BA32" s="132"/>
      <c r="BB32" s="44"/>
      <c r="BC32" s="132"/>
      <c r="BD32" s="132"/>
      <c r="BE32" s="132"/>
      <c r="BF32" s="44"/>
      <c r="BG32" s="132"/>
      <c r="BH32" s="132"/>
      <c r="BI32" s="132"/>
      <c r="BJ32" s="132"/>
      <c r="BK32" s="44"/>
      <c r="BL32" s="132"/>
      <c r="BM32" s="132"/>
      <c r="BN32" s="44"/>
      <c r="BO32" s="132"/>
      <c r="BP32" s="132"/>
      <c r="BQ32" s="44"/>
      <c r="BR32" s="132"/>
      <c r="BS32" s="132"/>
      <c r="BT32" s="44"/>
      <c r="BU32" s="132"/>
      <c r="BV32" s="132"/>
      <c r="BW32" s="44"/>
      <c r="BX32" s="132"/>
      <c r="BY32" s="132"/>
      <c r="BZ32" s="44"/>
      <c r="CA32" s="132"/>
      <c r="CB32" s="3"/>
      <c r="CD32" s="44"/>
      <c r="CF32" s="44"/>
      <c r="CH32" s="44"/>
      <c r="CK32" s="44"/>
      <c r="CN32" s="44"/>
      <c r="CP32" s="44"/>
      <c r="CR32" s="44"/>
      <c r="CS32" s="44"/>
    </row>
    <row r="33" spans="1:97" ht="15.75" customHeight="1">
      <c r="A33" s="3"/>
      <c r="B33" s="147">
        <v>0.41666666666666669</v>
      </c>
      <c r="C33" s="132"/>
      <c r="D33" s="44"/>
      <c r="E33" s="132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7"/>
      <c r="AG33" s="44"/>
      <c r="AH33" s="132"/>
      <c r="AI33" s="132"/>
      <c r="AJ33" s="44"/>
      <c r="AK33" s="132"/>
      <c r="AL33" s="132"/>
      <c r="AM33" s="44"/>
      <c r="AN33" s="132"/>
      <c r="AO33" s="132"/>
      <c r="AP33" s="44"/>
      <c r="AQ33" s="132"/>
      <c r="AR33" s="132"/>
      <c r="AS33" s="44"/>
      <c r="AT33" s="132"/>
      <c r="AU33" s="132"/>
      <c r="AV33" s="44"/>
      <c r="AW33" s="132"/>
      <c r="AX33" s="132"/>
      <c r="AY33" s="44"/>
      <c r="AZ33" s="132"/>
      <c r="BA33" s="132"/>
      <c r="BB33" s="44"/>
      <c r="BC33" s="132"/>
      <c r="BD33" s="132"/>
      <c r="BE33" s="132"/>
      <c r="BF33" s="44"/>
      <c r="BG33" s="132"/>
      <c r="BH33" s="132"/>
      <c r="BI33" s="132"/>
      <c r="BJ33" s="132"/>
      <c r="BK33" s="44"/>
      <c r="BL33" s="132"/>
      <c r="BM33" s="132"/>
      <c r="BN33" s="44"/>
      <c r="BO33" s="132"/>
      <c r="BP33" s="132"/>
      <c r="BQ33" s="44"/>
      <c r="BR33" s="132"/>
      <c r="BS33" s="132"/>
      <c r="BT33" s="44"/>
      <c r="BU33" s="132"/>
      <c r="BV33" s="132"/>
      <c r="BW33" s="44"/>
      <c r="BX33" s="132"/>
      <c r="BY33" s="132"/>
      <c r="BZ33" s="44"/>
      <c r="CA33" s="132"/>
      <c r="CB33" s="3"/>
      <c r="CD33" s="44"/>
      <c r="CF33" s="44"/>
      <c r="CH33" s="44"/>
      <c r="CK33" s="44"/>
      <c r="CN33" s="44"/>
      <c r="CP33" s="44"/>
      <c r="CR33" s="44"/>
      <c r="CS33" s="44"/>
    </row>
    <row r="34" spans="1:97" ht="15.75" customHeight="1">
      <c r="A34" s="3"/>
      <c r="B34" s="147">
        <v>0.58333333333333337</v>
      </c>
      <c r="C34" s="132"/>
      <c r="D34" s="44"/>
      <c r="E34" s="132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7"/>
      <c r="AG34" s="44"/>
      <c r="AH34" s="132"/>
      <c r="AI34" s="132"/>
      <c r="AJ34" s="44"/>
      <c r="AK34" s="132"/>
      <c r="AL34" s="132"/>
      <c r="AM34" s="44"/>
      <c r="AN34" s="132"/>
      <c r="AO34" s="132"/>
      <c r="AP34" s="44"/>
      <c r="AQ34" s="132"/>
      <c r="AR34" s="132"/>
      <c r="AS34" s="44"/>
      <c r="AT34" s="132"/>
      <c r="AU34" s="132"/>
      <c r="AV34" s="44"/>
      <c r="AW34" s="132"/>
      <c r="AX34" s="132"/>
      <c r="AY34" s="44"/>
      <c r="AZ34" s="132"/>
      <c r="BA34" s="132"/>
      <c r="BB34" s="44"/>
      <c r="BC34" s="132"/>
      <c r="BD34" s="132"/>
      <c r="BE34" s="132"/>
      <c r="BF34" s="44"/>
      <c r="BG34" s="132"/>
      <c r="BH34" s="132"/>
      <c r="BI34" s="132"/>
      <c r="BJ34" s="132"/>
      <c r="BK34" s="44"/>
      <c r="BL34" s="132"/>
      <c r="BM34" s="132"/>
      <c r="BN34" s="44"/>
      <c r="BO34" s="132"/>
      <c r="BP34" s="132"/>
      <c r="BQ34" s="44"/>
      <c r="BR34" s="132"/>
      <c r="BS34" s="132"/>
      <c r="BT34" s="44"/>
      <c r="BU34" s="132"/>
      <c r="BV34" s="132"/>
      <c r="BW34" s="44"/>
      <c r="BX34" s="132"/>
      <c r="BY34" s="132"/>
      <c r="BZ34" s="44"/>
      <c r="CA34" s="132"/>
      <c r="CB34" s="3"/>
      <c r="CD34" s="44"/>
      <c r="CF34" s="44"/>
      <c r="CH34" s="44"/>
      <c r="CK34" s="44"/>
      <c r="CN34" s="44"/>
      <c r="CP34" s="44"/>
      <c r="CR34" s="44"/>
      <c r="CS34" s="44"/>
    </row>
    <row r="35" spans="1:97" ht="15.75" customHeight="1">
      <c r="A35" s="3"/>
      <c r="B35" s="147">
        <v>0.70833333333333337</v>
      </c>
      <c r="C35" s="132"/>
      <c r="D35" s="44"/>
      <c r="E35" s="132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7"/>
      <c r="AG35" s="44"/>
      <c r="AH35" s="132"/>
      <c r="AI35" s="132"/>
      <c r="AJ35" s="44"/>
      <c r="AK35" s="132"/>
      <c r="AL35" s="132"/>
      <c r="AM35" s="44"/>
      <c r="AN35" s="132"/>
      <c r="AO35" s="132"/>
      <c r="AP35" s="44"/>
      <c r="AQ35" s="132"/>
      <c r="AR35" s="132"/>
      <c r="AS35" s="44"/>
      <c r="AT35" s="132"/>
      <c r="AU35" s="132"/>
      <c r="AV35" s="44"/>
      <c r="AW35" s="132"/>
      <c r="AX35" s="132"/>
      <c r="AY35" s="44"/>
      <c r="AZ35" s="132"/>
      <c r="BA35" s="132"/>
      <c r="BB35" s="44"/>
      <c r="BC35" s="132"/>
      <c r="BD35" s="132"/>
      <c r="BE35" s="132"/>
      <c r="BF35" s="44"/>
      <c r="BG35" s="132"/>
      <c r="BH35" s="132"/>
      <c r="BI35" s="132"/>
      <c r="BJ35" s="132"/>
      <c r="BK35" s="44"/>
      <c r="BL35" s="132"/>
      <c r="BM35" s="132"/>
      <c r="BN35" s="44"/>
      <c r="BO35" s="132"/>
      <c r="BP35" s="132"/>
      <c r="BQ35" s="44"/>
      <c r="BR35" s="132"/>
      <c r="BS35" s="132"/>
      <c r="BT35" s="44"/>
      <c r="BU35" s="132"/>
      <c r="BV35" s="132"/>
      <c r="BW35" s="44"/>
      <c r="BX35" s="132"/>
      <c r="BY35" s="132"/>
      <c r="BZ35" s="44"/>
      <c r="CA35" s="132"/>
      <c r="CB35" s="3"/>
      <c r="CD35" s="44"/>
      <c r="CF35" s="44"/>
      <c r="CH35" s="44"/>
      <c r="CK35" s="44"/>
      <c r="CN35" s="44"/>
      <c r="CP35" s="44"/>
      <c r="CR35" s="44"/>
      <c r="CS35" s="44"/>
    </row>
    <row r="36" spans="1:97" ht="15.75" customHeight="1">
      <c r="A36" s="3"/>
      <c r="B36" s="147">
        <v>0.83333333333333337</v>
      </c>
      <c r="C36" s="132"/>
      <c r="D36" s="44"/>
      <c r="E36" s="132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  <c r="AG36" s="44"/>
      <c r="AH36" s="132"/>
      <c r="AI36" s="132"/>
      <c r="AJ36" s="44"/>
      <c r="AK36" s="132"/>
      <c r="AL36" s="132"/>
      <c r="AM36" s="44"/>
      <c r="AN36" s="132"/>
      <c r="AO36" s="132"/>
      <c r="AP36" s="44"/>
      <c r="AQ36" s="132"/>
      <c r="AR36" s="132"/>
      <c r="AS36" s="44"/>
      <c r="AT36" s="132"/>
      <c r="AU36" s="132"/>
      <c r="AV36" s="44"/>
      <c r="AW36" s="132"/>
      <c r="AX36" s="132"/>
      <c r="AY36" s="44"/>
      <c r="AZ36" s="132"/>
      <c r="BA36" s="132"/>
      <c r="BB36" s="44"/>
      <c r="BC36" s="132"/>
      <c r="BD36" s="132"/>
      <c r="BE36" s="132"/>
      <c r="BF36" s="44"/>
      <c r="BG36" s="132"/>
      <c r="BH36" s="132"/>
      <c r="BI36" s="132"/>
      <c r="BJ36" s="132"/>
      <c r="BK36" s="44"/>
      <c r="BL36" s="132"/>
      <c r="BM36" s="132"/>
      <c r="BN36" s="44"/>
      <c r="BO36" s="132"/>
      <c r="BP36" s="132"/>
      <c r="BQ36" s="44"/>
      <c r="BR36" s="132"/>
      <c r="BS36" s="132"/>
      <c r="BT36" s="44"/>
      <c r="BU36" s="132"/>
      <c r="BV36" s="132"/>
      <c r="BW36" s="44"/>
      <c r="BX36" s="132"/>
      <c r="BY36" s="132"/>
      <c r="BZ36" s="44"/>
      <c r="CA36" s="132"/>
      <c r="CB36" s="3"/>
      <c r="CD36" s="44"/>
      <c r="CF36" s="44"/>
      <c r="CH36" s="44"/>
      <c r="CK36" s="44"/>
      <c r="CN36" s="44"/>
      <c r="CP36" s="44"/>
      <c r="CR36" s="44"/>
      <c r="CS36" s="44"/>
    </row>
    <row r="37" spans="1:97" ht="15.75" customHeight="1">
      <c r="A37" s="3"/>
      <c r="B37" s="147">
        <v>0.91666666666666663</v>
      </c>
      <c r="C37" s="132"/>
      <c r="D37" s="44"/>
      <c r="E37" s="132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44"/>
      <c r="AH37" s="132"/>
      <c r="AI37" s="132"/>
      <c r="AJ37" s="44"/>
      <c r="AK37" s="132"/>
      <c r="AL37" s="132"/>
      <c r="AM37" s="44"/>
      <c r="AN37" s="132"/>
      <c r="AO37" s="132"/>
      <c r="AP37" s="44"/>
      <c r="AQ37" s="132"/>
      <c r="AR37" s="132"/>
      <c r="AS37" s="44"/>
      <c r="AT37" s="132"/>
      <c r="AU37" s="132"/>
      <c r="AV37" s="44"/>
      <c r="AW37" s="132"/>
      <c r="AX37" s="132"/>
      <c r="AY37" s="44"/>
      <c r="AZ37" s="132"/>
      <c r="BA37" s="132"/>
      <c r="BB37" s="44"/>
      <c r="BC37" s="132"/>
      <c r="BD37" s="132"/>
      <c r="BE37" s="132"/>
      <c r="BF37" s="44"/>
      <c r="BG37" s="132"/>
      <c r="BH37" s="132"/>
      <c r="BI37" s="132"/>
      <c r="BJ37" s="132"/>
      <c r="BK37" s="44"/>
      <c r="BL37" s="132"/>
      <c r="BM37" s="132"/>
      <c r="BN37" s="44"/>
      <c r="BO37" s="132"/>
      <c r="BP37" s="132"/>
      <c r="BQ37" s="44"/>
      <c r="BR37" s="132"/>
      <c r="BS37" s="132"/>
      <c r="BT37" s="44"/>
      <c r="BU37" s="132"/>
      <c r="BV37" s="132"/>
      <c r="BW37" s="44"/>
      <c r="BX37" s="132"/>
      <c r="BY37" s="132"/>
      <c r="BZ37" s="44"/>
      <c r="CA37" s="132"/>
      <c r="CB37" s="3"/>
      <c r="CD37" s="44"/>
      <c r="CF37" s="44"/>
      <c r="CH37" s="44"/>
      <c r="CK37" s="44"/>
      <c r="CN37" s="44"/>
      <c r="CP37" s="44"/>
      <c r="CR37" s="44"/>
      <c r="CS37" s="44"/>
    </row>
    <row r="38" spans="1:97" ht="32.25" customHeight="1">
      <c r="A38" s="3"/>
      <c r="B38" s="132"/>
      <c r="C38" s="132"/>
      <c r="D38" s="44"/>
      <c r="E38" s="132"/>
      <c r="F38" s="150"/>
      <c r="G38" s="132"/>
      <c r="H38" s="132"/>
      <c r="I38" s="44"/>
      <c r="J38" s="132"/>
      <c r="K38" s="132"/>
      <c r="L38" s="132"/>
      <c r="M38" s="132"/>
      <c r="N38" s="44"/>
      <c r="O38" s="132"/>
      <c r="P38" s="132"/>
      <c r="Q38" s="44"/>
      <c r="R38" s="132"/>
      <c r="S38" s="132"/>
      <c r="T38" s="44"/>
      <c r="U38" s="132"/>
      <c r="V38" s="132"/>
      <c r="W38" s="132"/>
      <c r="X38" s="132"/>
      <c r="Y38" s="44"/>
      <c r="Z38" s="132"/>
      <c r="AA38" s="132"/>
      <c r="AB38" s="132"/>
      <c r="AC38" s="132"/>
      <c r="AD38" s="44"/>
      <c r="AE38" s="132"/>
      <c r="AF38" s="132"/>
      <c r="AG38" s="44"/>
      <c r="AH38" s="132"/>
      <c r="AI38" s="132"/>
      <c r="AJ38" s="44"/>
      <c r="AK38" s="132"/>
      <c r="AL38" s="132"/>
      <c r="AM38" s="44"/>
      <c r="AN38" s="132"/>
      <c r="AO38" s="132"/>
      <c r="AP38" s="44"/>
      <c r="AQ38" s="132"/>
      <c r="AR38" s="132"/>
      <c r="AS38" s="44"/>
      <c r="AT38" s="132"/>
      <c r="AU38" s="132"/>
      <c r="AV38" s="44"/>
      <c r="AW38" s="132"/>
      <c r="AX38" s="132"/>
      <c r="AY38" s="44"/>
      <c r="AZ38" s="132"/>
      <c r="BA38" s="132"/>
      <c r="BB38" s="44"/>
      <c r="BC38" s="132"/>
      <c r="BD38" s="132"/>
      <c r="BE38" s="132"/>
      <c r="BF38" s="44"/>
      <c r="BG38" s="132"/>
      <c r="BH38" s="132"/>
      <c r="BI38" s="132"/>
      <c r="BJ38" s="132"/>
      <c r="BK38" s="44"/>
      <c r="BL38" s="132"/>
      <c r="BM38" s="132"/>
      <c r="BN38" s="44"/>
      <c r="BO38" s="132"/>
      <c r="BP38" s="132"/>
      <c r="BQ38" s="44"/>
      <c r="BR38" s="132"/>
      <c r="BS38" s="132"/>
      <c r="BT38" s="44"/>
      <c r="BU38" s="132"/>
      <c r="BV38" s="132"/>
      <c r="BW38" s="44"/>
      <c r="BX38" s="132"/>
      <c r="BY38" s="132"/>
      <c r="BZ38" s="44"/>
      <c r="CA38" s="132"/>
      <c r="CB38" s="3"/>
      <c r="CD38" s="44"/>
      <c r="CF38" s="44"/>
      <c r="CH38" s="44"/>
      <c r="CK38" s="44"/>
      <c r="CN38" s="44"/>
      <c r="CP38" s="44"/>
      <c r="CR38" s="44"/>
      <c r="CS38" s="44"/>
    </row>
    <row r="39" spans="1:97" ht="15.75" customHeight="1">
      <c r="A39" s="3"/>
      <c r="B39" s="132"/>
      <c r="C39" s="132"/>
      <c r="D39" s="44"/>
      <c r="E39" s="132"/>
      <c r="F39" s="191" t="s">
        <v>131</v>
      </c>
      <c r="G39" s="191"/>
      <c r="H39" s="191"/>
      <c r="I39" s="191"/>
      <c r="J39" s="191"/>
      <c r="K39" s="191"/>
      <c r="L39" s="132"/>
      <c r="M39" s="179" t="s">
        <v>135</v>
      </c>
      <c r="N39" s="184" t="s">
        <v>112</v>
      </c>
      <c r="O39" s="185"/>
      <c r="P39" s="185"/>
      <c r="Q39" s="185"/>
      <c r="R39" s="187"/>
      <c r="S39" s="190" t="s">
        <v>136</v>
      </c>
      <c r="T39" s="190"/>
      <c r="U39" s="190"/>
      <c r="V39" s="190"/>
      <c r="W39" s="190"/>
      <c r="AA39" s="132"/>
      <c r="AB39" s="132"/>
      <c r="AC39" s="132"/>
      <c r="AD39" s="44"/>
      <c r="AE39" s="132"/>
      <c r="AF39" s="132"/>
      <c r="AG39" s="44"/>
      <c r="AH39" s="132"/>
      <c r="AI39" s="132"/>
      <c r="AJ39" s="44"/>
      <c r="AK39" s="132"/>
      <c r="AL39" s="132"/>
      <c r="AM39" s="44"/>
      <c r="AN39" s="132"/>
      <c r="AO39" s="132"/>
      <c r="AP39" s="44"/>
      <c r="AQ39" s="132"/>
      <c r="AR39" s="132"/>
      <c r="AS39" s="44"/>
      <c r="AT39" s="132"/>
      <c r="AU39" s="132"/>
      <c r="AV39" s="44"/>
      <c r="AW39" s="132"/>
      <c r="AX39" s="132"/>
      <c r="AY39" s="44"/>
      <c r="AZ39" s="132"/>
      <c r="BA39" s="132"/>
      <c r="BB39" s="44"/>
      <c r="BC39" s="132"/>
      <c r="BD39" s="132"/>
      <c r="BE39" s="132"/>
      <c r="BF39" s="44"/>
      <c r="BG39" s="132"/>
      <c r="BH39" s="132"/>
      <c r="BI39" s="132"/>
      <c r="BJ39" s="132"/>
      <c r="BK39" s="44"/>
      <c r="BL39" s="132"/>
      <c r="BM39" s="132"/>
      <c r="BN39" s="44"/>
      <c r="BO39" s="132"/>
      <c r="BP39" s="132"/>
      <c r="BQ39" s="44"/>
      <c r="BR39" s="132"/>
      <c r="BS39" s="132"/>
      <c r="BT39" s="44"/>
      <c r="BU39" s="132"/>
      <c r="BV39" s="132"/>
      <c r="BW39" s="44"/>
      <c r="BX39" s="132"/>
      <c r="BY39" s="132"/>
      <c r="BZ39" s="44"/>
      <c r="CA39" s="132"/>
      <c r="CB39" s="3"/>
      <c r="CD39" s="44"/>
      <c r="CF39" s="44"/>
      <c r="CH39" s="44"/>
      <c r="CK39" s="44"/>
      <c r="CN39" s="44"/>
      <c r="CP39" s="44"/>
      <c r="CR39" s="44"/>
      <c r="CS39" s="44"/>
    </row>
    <row r="40" spans="1:97" ht="15.75" customHeight="1">
      <c r="A40" s="3"/>
      <c r="B40" s="179" t="s">
        <v>135</v>
      </c>
      <c r="C40" s="132"/>
      <c r="D40" s="44"/>
      <c r="E40" s="132"/>
      <c r="F40" s="174" t="s">
        <v>77</v>
      </c>
      <c r="G40" s="174"/>
      <c r="H40" s="174" t="s">
        <v>78</v>
      </c>
      <c r="I40" s="174"/>
      <c r="J40" s="174" t="s">
        <v>76</v>
      </c>
      <c r="K40" s="174"/>
      <c r="L40" s="132"/>
      <c r="M40" s="180"/>
      <c r="N40" s="188" t="s">
        <v>113</v>
      </c>
      <c r="O40" s="189"/>
      <c r="P40" s="189"/>
      <c r="Q40" s="189"/>
      <c r="R40" s="153"/>
      <c r="S40" s="154"/>
      <c r="T40" s="44"/>
      <c r="U40" s="44"/>
      <c r="V40" s="43"/>
      <c r="W40" s="155"/>
      <c r="AA40" s="132"/>
      <c r="AB40" s="132"/>
      <c r="AC40" s="132"/>
      <c r="AD40" s="44"/>
      <c r="AE40" s="132"/>
      <c r="AF40" s="132"/>
      <c r="AG40" s="44"/>
      <c r="AH40" s="132"/>
      <c r="AI40" s="132"/>
      <c r="AJ40" s="44"/>
      <c r="AK40" s="132"/>
      <c r="AL40" s="132"/>
      <c r="AM40" s="44"/>
      <c r="AN40" s="132"/>
      <c r="AO40" s="132"/>
      <c r="AP40" s="44"/>
      <c r="AQ40" s="132"/>
      <c r="AR40" s="132"/>
      <c r="AS40" s="44"/>
      <c r="AT40" s="132"/>
      <c r="AU40" s="132"/>
      <c r="AV40" s="44"/>
      <c r="AW40" s="132"/>
      <c r="AX40" s="132"/>
      <c r="AY40" s="44"/>
      <c r="AZ40" s="132"/>
      <c r="BA40" s="132"/>
      <c r="BB40" s="44"/>
      <c r="BC40" s="132"/>
      <c r="BD40" s="132"/>
      <c r="BE40" s="132"/>
      <c r="BF40" s="44"/>
      <c r="BG40" s="132"/>
      <c r="BH40" s="132"/>
      <c r="BI40" s="132"/>
      <c r="BJ40" s="132"/>
      <c r="BK40" s="44"/>
      <c r="BL40" s="132"/>
      <c r="BM40" s="132"/>
      <c r="BN40" s="44"/>
      <c r="BO40" s="132"/>
      <c r="BP40" s="132"/>
      <c r="BQ40" s="44"/>
      <c r="BR40" s="132"/>
      <c r="BS40" s="132"/>
      <c r="BT40" s="44"/>
      <c r="BU40" s="132"/>
      <c r="BV40" s="132"/>
      <c r="BW40" s="44"/>
      <c r="BX40" s="132"/>
      <c r="BY40" s="132"/>
      <c r="BZ40" s="44"/>
      <c r="CA40" s="132"/>
      <c r="CB40" s="3"/>
      <c r="CD40" s="44"/>
      <c r="CF40" s="44"/>
      <c r="CH40" s="44"/>
      <c r="CK40" s="44"/>
      <c r="CN40" s="44"/>
      <c r="CP40" s="44"/>
      <c r="CR40" s="44"/>
      <c r="CS40" s="44"/>
    </row>
    <row r="41" spans="1:97" ht="15.75" customHeight="1">
      <c r="A41" s="3"/>
      <c r="B41" s="180"/>
      <c r="C41" s="132"/>
      <c r="D41" s="44"/>
      <c r="E41" s="132"/>
      <c r="F41" s="141" t="s">
        <v>79</v>
      </c>
      <c r="G41" s="141" t="s">
        <v>82</v>
      </c>
      <c r="H41" s="138" t="s">
        <v>79</v>
      </c>
      <c r="I41" s="142" t="s">
        <v>82</v>
      </c>
      <c r="J41" s="141" t="s">
        <v>79</v>
      </c>
      <c r="K41" s="141" t="s">
        <v>82</v>
      </c>
      <c r="L41" s="132"/>
      <c r="M41" s="180"/>
      <c r="N41" s="156" t="s">
        <v>114</v>
      </c>
      <c r="O41" s="157" t="s">
        <v>115</v>
      </c>
      <c r="P41" s="157" t="s">
        <v>116</v>
      </c>
      <c r="Q41" s="157" t="s">
        <v>95</v>
      </c>
      <c r="R41" s="158" t="s">
        <v>94</v>
      </c>
      <c r="S41" s="154"/>
      <c r="T41" s="44"/>
      <c r="U41" s="44"/>
      <c r="V41" s="43"/>
      <c r="W41" s="155"/>
      <c r="AA41" s="132"/>
      <c r="AB41" s="132"/>
      <c r="AC41" s="132"/>
      <c r="AD41" s="44"/>
      <c r="AE41" s="132"/>
      <c r="AF41" s="132"/>
      <c r="AG41" s="44"/>
      <c r="AH41" s="132"/>
      <c r="AI41" s="132"/>
      <c r="AJ41" s="44"/>
      <c r="AK41" s="132"/>
      <c r="AL41" s="132"/>
      <c r="AM41" s="44"/>
      <c r="AN41" s="132"/>
      <c r="AO41" s="132"/>
      <c r="AP41" s="44"/>
      <c r="AQ41" s="132"/>
      <c r="AR41" s="132"/>
      <c r="AS41" s="44"/>
      <c r="AT41" s="132"/>
      <c r="AU41" s="132"/>
      <c r="AV41" s="44"/>
      <c r="AW41" s="132"/>
      <c r="AX41" s="132"/>
      <c r="AY41" s="44"/>
      <c r="AZ41" s="132"/>
      <c r="BA41" s="132"/>
      <c r="BB41" s="44"/>
      <c r="BC41" s="132"/>
      <c r="BD41" s="132"/>
      <c r="BE41" s="132"/>
      <c r="BF41" s="44"/>
      <c r="BG41" s="132"/>
      <c r="BH41" s="132"/>
      <c r="BI41" s="132"/>
      <c r="BJ41" s="132"/>
      <c r="BK41" s="44"/>
      <c r="BL41" s="132"/>
      <c r="BM41" s="132"/>
      <c r="BN41" s="44"/>
      <c r="BO41" s="132"/>
      <c r="BP41" s="132"/>
      <c r="BQ41" s="44"/>
      <c r="BR41" s="132"/>
      <c r="BS41" s="132"/>
      <c r="BT41" s="44"/>
      <c r="BU41" s="132"/>
      <c r="BV41" s="132"/>
      <c r="BW41" s="44"/>
      <c r="BX41" s="132"/>
      <c r="BY41" s="132"/>
      <c r="BZ41" s="44"/>
      <c r="CA41" s="132"/>
      <c r="CB41" s="3"/>
      <c r="CD41" s="44"/>
      <c r="CF41" s="44"/>
      <c r="CH41" s="44"/>
      <c r="CK41" s="44"/>
      <c r="CN41" s="44"/>
      <c r="CP41" s="44"/>
      <c r="CR41" s="44"/>
      <c r="CS41" s="44"/>
    </row>
    <row r="42" spans="1:97" ht="15.75" customHeight="1">
      <c r="A42" s="3"/>
      <c r="B42" s="180"/>
      <c r="C42" s="132"/>
      <c r="D42" s="44"/>
      <c r="E42" s="132"/>
      <c r="F42" s="143" t="s">
        <v>93</v>
      </c>
      <c r="G42" s="143" t="s">
        <v>13</v>
      </c>
      <c r="H42" s="136" t="s">
        <v>93</v>
      </c>
      <c r="I42" s="142" t="s">
        <v>13</v>
      </c>
      <c r="J42" s="143" t="s">
        <v>93</v>
      </c>
      <c r="K42" s="143" t="s">
        <v>13</v>
      </c>
      <c r="L42" s="132"/>
      <c r="M42" s="181"/>
      <c r="N42" s="184" t="s">
        <v>117</v>
      </c>
      <c r="O42" s="185"/>
      <c r="P42" s="186"/>
      <c r="Q42" s="159" t="s">
        <v>111</v>
      </c>
      <c r="R42" s="160" t="s">
        <v>110</v>
      </c>
      <c r="S42" s="154"/>
      <c r="T42" s="44"/>
      <c r="U42" s="44"/>
      <c r="V42" s="43"/>
      <c r="W42" s="155"/>
      <c r="AA42" s="132"/>
      <c r="AB42" s="132"/>
      <c r="AC42" s="132"/>
      <c r="AD42" s="44"/>
      <c r="AE42" s="132"/>
      <c r="AF42" s="132"/>
      <c r="AG42" s="44"/>
      <c r="AH42" s="132"/>
      <c r="AI42" s="132"/>
      <c r="AJ42" s="44"/>
      <c r="AK42" s="132"/>
      <c r="AL42" s="132"/>
      <c r="AM42" s="44"/>
      <c r="AN42" s="132"/>
      <c r="AO42" s="132"/>
      <c r="AP42" s="44"/>
      <c r="AQ42" s="132"/>
      <c r="AR42" s="132"/>
      <c r="AS42" s="44"/>
      <c r="AT42" s="132"/>
      <c r="AU42" s="132"/>
      <c r="AV42" s="44"/>
      <c r="AW42" s="132"/>
      <c r="AX42" s="132"/>
      <c r="AY42" s="44"/>
      <c r="AZ42" s="132"/>
      <c r="BA42" s="132"/>
      <c r="BB42" s="44"/>
      <c r="BC42" s="132"/>
      <c r="BD42" s="132"/>
      <c r="BE42" s="132"/>
      <c r="BF42" s="44"/>
      <c r="BG42" s="132"/>
      <c r="BH42" s="132"/>
      <c r="BI42" s="132"/>
      <c r="BJ42" s="132"/>
      <c r="BK42" s="44"/>
      <c r="BL42" s="132"/>
      <c r="BM42" s="132"/>
      <c r="BN42" s="44"/>
      <c r="BO42" s="132"/>
      <c r="BP42" s="132"/>
      <c r="BQ42" s="44"/>
      <c r="BR42" s="132"/>
      <c r="BS42" s="132"/>
      <c r="BT42" s="44"/>
      <c r="BU42" s="132"/>
      <c r="BV42" s="132"/>
      <c r="BW42" s="44"/>
      <c r="BX42" s="132"/>
      <c r="BY42" s="132"/>
      <c r="BZ42" s="44"/>
      <c r="CA42" s="132"/>
      <c r="CB42" s="3"/>
      <c r="CD42" s="44"/>
      <c r="CF42" s="44"/>
      <c r="CH42" s="44"/>
      <c r="CK42" s="44"/>
      <c r="CN42" s="44"/>
      <c r="CP42" s="44"/>
      <c r="CR42" s="44"/>
      <c r="CS42" s="44"/>
    </row>
    <row r="43" spans="1:97" ht="15.75" customHeight="1">
      <c r="A43" s="3"/>
      <c r="B43" s="181"/>
      <c r="C43" s="132"/>
      <c r="D43" s="44"/>
      <c r="E43" s="132"/>
      <c r="F43" s="135" t="s">
        <v>105</v>
      </c>
      <c r="G43" s="135" t="s">
        <v>106</v>
      </c>
      <c r="H43" s="145" t="s">
        <v>105</v>
      </c>
      <c r="I43" s="134" t="s">
        <v>106</v>
      </c>
      <c r="J43" s="135" t="s">
        <v>105</v>
      </c>
      <c r="K43" s="135" t="s">
        <v>106</v>
      </c>
      <c r="L43" s="132"/>
      <c r="M43" s="152">
        <v>0.25</v>
      </c>
      <c r="N43" s="161"/>
      <c r="O43" s="161"/>
      <c r="P43" s="161"/>
      <c r="Q43" s="162"/>
      <c r="R43" s="163"/>
      <c r="S43" s="154"/>
      <c r="T43" s="44"/>
      <c r="U43" s="44"/>
      <c r="V43" s="43"/>
      <c r="W43" s="155"/>
      <c r="AA43" s="132"/>
      <c r="AB43" s="132"/>
      <c r="AC43" s="132"/>
      <c r="AD43" s="44"/>
      <c r="AE43" s="132"/>
      <c r="AF43" s="132"/>
      <c r="AG43" s="44"/>
      <c r="AH43" s="132"/>
      <c r="AI43" s="132"/>
      <c r="AJ43" s="44"/>
      <c r="AK43" s="132"/>
      <c r="AL43" s="132"/>
      <c r="AM43" s="44"/>
      <c r="AN43" s="132"/>
      <c r="AO43" s="132"/>
      <c r="AP43" s="44"/>
      <c r="AQ43" s="132"/>
      <c r="AR43" s="132"/>
      <c r="AS43" s="44"/>
      <c r="AT43" s="132"/>
      <c r="AU43" s="132"/>
      <c r="AV43" s="44"/>
      <c r="AW43" s="132"/>
      <c r="AX43" s="132"/>
      <c r="AY43" s="44"/>
      <c r="AZ43" s="132"/>
      <c r="BA43" s="132"/>
      <c r="BB43" s="44"/>
      <c r="BC43" s="132"/>
      <c r="BD43" s="132"/>
      <c r="BE43" s="132"/>
      <c r="BF43" s="44"/>
      <c r="BG43" s="132"/>
      <c r="BH43" s="132"/>
      <c r="BI43" s="132"/>
      <c r="BJ43" s="132"/>
      <c r="BK43" s="44"/>
      <c r="BL43" s="132"/>
      <c r="BM43" s="132"/>
      <c r="BN43" s="44"/>
      <c r="BO43" s="132"/>
      <c r="BP43" s="132"/>
      <c r="BQ43" s="44"/>
      <c r="BR43" s="132"/>
      <c r="BS43" s="132"/>
      <c r="BT43" s="44"/>
      <c r="BU43" s="132"/>
      <c r="BV43" s="132"/>
      <c r="BW43" s="44"/>
      <c r="BX43" s="132"/>
      <c r="BY43" s="132"/>
      <c r="BZ43" s="44"/>
      <c r="CA43" s="132"/>
      <c r="CB43" s="3"/>
      <c r="CD43" s="44"/>
      <c r="CF43" s="44"/>
      <c r="CH43" s="44"/>
      <c r="CK43" s="44"/>
      <c r="CN43" s="44"/>
      <c r="CP43" s="44"/>
      <c r="CR43" s="44"/>
      <c r="CS43" s="44"/>
    </row>
    <row r="44" spans="1:97" ht="15.75" customHeight="1">
      <c r="A44" s="3"/>
      <c r="B44" s="152">
        <v>0.25</v>
      </c>
      <c r="C44" s="132"/>
      <c r="D44" s="44"/>
      <c r="E44" s="132"/>
      <c r="F44" s="143"/>
      <c r="G44" s="143"/>
      <c r="H44" s="136"/>
      <c r="I44" s="142"/>
      <c r="J44" s="143"/>
      <c r="K44" s="143"/>
      <c r="L44" s="132"/>
      <c r="M44" s="152">
        <v>0.41666666666666669</v>
      </c>
      <c r="N44" s="161"/>
      <c r="O44" s="161"/>
      <c r="P44" s="161"/>
      <c r="Q44" s="162"/>
      <c r="R44" s="163"/>
      <c r="S44" s="154"/>
      <c r="T44" s="44"/>
      <c r="V44" s="43"/>
      <c r="W44" s="155"/>
      <c r="AA44" s="132"/>
      <c r="AB44" s="132"/>
      <c r="AC44" s="132"/>
      <c r="AD44" s="44"/>
      <c r="AE44" s="132"/>
      <c r="AF44" s="132"/>
      <c r="AG44" s="44"/>
      <c r="AH44" s="132"/>
      <c r="AI44" s="132"/>
      <c r="AJ44" s="44"/>
      <c r="AK44" s="132"/>
      <c r="AL44" s="132"/>
      <c r="AM44" s="44"/>
      <c r="AN44" s="132"/>
      <c r="AO44" s="132"/>
      <c r="AP44" s="44"/>
      <c r="AQ44" s="132"/>
      <c r="AR44" s="132"/>
      <c r="AS44" s="44"/>
      <c r="AT44" s="132"/>
      <c r="AU44" s="132"/>
      <c r="AV44" s="44"/>
      <c r="AW44" s="132"/>
      <c r="AX44" s="132"/>
      <c r="AY44" s="44"/>
      <c r="AZ44" s="132"/>
      <c r="BA44" s="132"/>
      <c r="BB44" s="44"/>
      <c r="BC44" s="132"/>
      <c r="BD44" s="132"/>
      <c r="BE44" s="132"/>
      <c r="BF44" s="44"/>
      <c r="BG44" s="132"/>
      <c r="BH44" s="132"/>
      <c r="BI44" s="132"/>
      <c r="BJ44" s="132"/>
      <c r="BK44" s="44"/>
      <c r="BL44" s="132"/>
      <c r="BM44" s="132"/>
      <c r="BN44" s="44"/>
      <c r="BO44" s="132"/>
      <c r="BP44" s="132"/>
      <c r="BQ44" s="44"/>
      <c r="BR44" s="132"/>
      <c r="BS44" s="132"/>
      <c r="BT44" s="44"/>
      <c r="BU44" s="132"/>
      <c r="BV44" s="132"/>
      <c r="BW44" s="44"/>
      <c r="BX44" s="132"/>
      <c r="BY44" s="132"/>
      <c r="BZ44" s="44"/>
      <c r="CA44" s="132"/>
      <c r="CB44" s="3"/>
      <c r="CD44" s="44"/>
      <c r="CF44" s="44"/>
      <c r="CH44" s="44"/>
      <c r="CK44" s="44"/>
      <c r="CN44" s="44"/>
      <c r="CP44" s="44"/>
      <c r="CR44" s="44"/>
      <c r="CS44" s="44"/>
    </row>
    <row r="45" spans="1:97" ht="15.75" customHeight="1">
      <c r="A45" s="3"/>
      <c r="B45" s="147">
        <v>0.41666666666666669</v>
      </c>
      <c r="C45" s="132"/>
      <c r="D45" s="44"/>
      <c r="E45" s="132"/>
      <c r="F45" s="143"/>
      <c r="G45" s="143"/>
      <c r="H45" s="136"/>
      <c r="I45" s="142"/>
      <c r="J45" s="143"/>
      <c r="K45" s="143"/>
      <c r="L45" s="132"/>
      <c r="M45" s="152">
        <v>0.58333333333333337</v>
      </c>
      <c r="N45" s="161"/>
      <c r="O45" s="161"/>
      <c r="P45" s="161"/>
      <c r="Q45" s="162"/>
      <c r="R45" s="163"/>
      <c r="S45" s="154"/>
      <c r="T45" s="44"/>
      <c r="V45" s="43"/>
      <c r="W45" s="155"/>
      <c r="AA45" s="132"/>
      <c r="AB45" s="132"/>
      <c r="AC45" s="132"/>
      <c r="AD45" s="44"/>
      <c r="AE45" s="132"/>
      <c r="AF45" s="132"/>
      <c r="AG45" s="44"/>
      <c r="AH45" s="132"/>
      <c r="AI45" s="132"/>
      <c r="AJ45" s="44"/>
      <c r="AK45" s="132"/>
      <c r="AL45" s="132"/>
      <c r="AM45" s="44"/>
      <c r="AN45" s="132"/>
      <c r="AO45" s="132"/>
      <c r="AP45" s="44"/>
      <c r="AQ45" s="132"/>
      <c r="AR45" s="132"/>
      <c r="AS45" s="44"/>
      <c r="AT45" s="132"/>
      <c r="AU45" s="132"/>
      <c r="AV45" s="44"/>
      <c r="AW45" s="132"/>
      <c r="AX45" s="132"/>
      <c r="AY45" s="44"/>
      <c r="AZ45" s="132"/>
      <c r="BA45" s="132"/>
      <c r="BB45" s="44"/>
      <c r="BC45" s="132"/>
      <c r="BD45" s="132"/>
      <c r="BE45" s="132"/>
      <c r="BF45" s="44"/>
      <c r="BG45" s="132"/>
      <c r="BH45" s="132"/>
      <c r="BI45" s="132"/>
      <c r="BJ45" s="132"/>
      <c r="BK45" s="44"/>
      <c r="BL45" s="132"/>
      <c r="BM45" s="132"/>
      <c r="BN45" s="44"/>
      <c r="BO45" s="132"/>
      <c r="BP45" s="132"/>
      <c r="BQ45" s="44"/>
      <c r="BR45" s="132"/>
      <c r="BS45" s="132"/>
      <c r="BT45" s="44"/>
      <c r="BU45" s="132"/>
      <c r="BV45" s="132"/>
      <c r="BW45" s="44"/>
      <c r="BX45" s="132"/>
      <c r="BY45" s="132"/>
      <c r="BZ45" s="44"/>
      <c r="CA45" s="132"/>
      <c r="CB45" s="3"/>
      <c r="CD45" s="44"/>
      <c r="CF45" s="44"/>
      <c r="CH45" s="44"/>
      <c r="CK45" s="44"/>
      <c r="CN45" s="44"/>
      <c r="CP45" s="44"/>
      <c r="CR45" s="44"/>
      <c r="CS45" s="44"/>
    </row>
    <row r="46" spans="1:97" ht="15.75" customHeight="1">
      <c r="A46" s="3"/>
      <c r="B46" s="147">
        <v>0.58333333333333337</v>
      </c>
      <c r="C46" s="132"/>
      <c r="D46" s="44"/>
      <c r="E46" s="132"/>
      <c r="F46" s="143"/>
      <c r="G46" s="143"/>
      <c r="H46" s="136"/>
      <c r="I46" s="142"/>
      <c r="J46" s="143"/>
      <c r="K46" s="143"/>
      <c r="L46" s="132"/>
      <c r="M46" s="152">
        <v>0.70833333333333337</v>
      </c>
      <c r="N46" s="161"/>
      <c r="O46" s="161"/>
      <c r="P46" s="161"/>
      <c r="Q46" s="162"/>
      <c r="R46" s="163"/>
      <c r="S46" s="154"/>
      <c r="T46" s="44"/>
      <c r="V46" s="43"/>
      <c r="W46" s="155"/>
      <c r="AA46" s="132"/>
      <c r="AB46" s="132"/>
      <c r="AC46" s="132"/>
      <c r="AD46" s="44"/>
      <c r="AE46" s="132"/>
      <c r="AF46" s="132"/>
      <c r="AG46" s="44"/>
      <c r="AH46" s="132"/>
      <c r="AI46" s="132"/>
      <c r="AJ46" s="44"/>
      <c r="AK46" s="132"/>
      <c r="AL46" s="132"/>
      <c r="AM46" s="44"/>
      <c r="AN46" s="132"/>
      <c r="AO46" s="132"/>
      <c r="AP46" s="44"/>
      <c r="AQ46" s="132"/>
      <c r="AR46" s="132"/>
      <c r="AS46" s="44"/>
      <c r="AT46" s="132"/>
      <c r="AU46" s="132"/>
      <c r="AV46" s="44"/>
      <c r="AW46" s="132"/>
      <c r="AX46" s="132"/>
      <c r="AY46" s="44"/>
      <c r="AZ46" s="132"/>
      <c r="BA46" s="132"/>
      <c r="BB46" s="44"/>
      <c r="BC46" s="132"/>
      <c r="BD46" s="132"/>
      <c r="BE46" s="132"/>
      <c r="BF46" s="44"/>
      <c r="BG46" s="132"/>
      <c r="BH46" s="132"/>
      <c r="BI46" s="132"/>
      <c r="BJ46" s="132"/>
      <c r="BK46" s="44"/>
      <c r="BL46" s="132"/>
      <c r="BM46" s="132"/>
      <c r="BN46" s="44"/>
      <c r="BO46" s="132"/>
      <c r="BP46" s="132"/>
      <c r="BQ46" s="44"/>
      <c r="BR46" s="132"/>
      <c r="BS46" s="132"/>
      <c r="BT46" s="44"/>
      <c r="BU46" s="132"/>
      <c r="BV46" s="132"/>
      <c r="BW46" s="44"/>
      <c r="BX46" s="132"/>
      <c r="BY46" s="132"/>
      <c r="BZ46" s="44"/>
      <c r="CA46" s="132"/>
      <c r="CB46" s="3"/>
      <c r="CD46" s="44"/>
      <c r="CF46" s="44"/>
      <c r="CH46" s="44"/>
      <c r="CK46" s="44"/>
      <c r="CN46" s="44"/>
      <c r="CP46" s="44"/>
      <c r="CR46" s="44"/>
      <c r="CS46" s="44"/>
    </row>
    <row r="47" spans="1:97" ht="15.75" customHeight="1">
      <c r="A47" s="3"/>
      <c r="B47" s="147">
        <v>0.70833333333333337</v>
      </c>
      <c r="C47" s="132"/>
      <c r="D47" s="44"/>
      <c r="E47" s="132"/>
      <c r="F47" s="143"/>
      <c r="G47" s="143"/>
      <c r="H47" s="136"/>
      <c r="I47" s="142"/>
      <c r="J47" s="143"/>
      <c r="K47" s="143"/>
      <c r="L47" s="132"/>
      <c r="M47" s="152">
        <v>0.83333333333333337</v>
      </c>
      <c r="N47" s="161"/>
      <c r="O47" s="161"/>
      <c r="P47" s="161"/>
      <c r="Q47" s="162"/>
      <c r="R47" s="163"/>
      <c r="S47" s="154"/>
      <c r="T47" s="44"/>
      <c r="V47" s="43"/>
      <c r="W47" s="155"/>
      <c r="AA47" s="132"/>
      <c r="AB47" s="132"/>
      <c r="AC47" s="132"/>
      <c r="AD47" s="44"/>
      <c r="AE47" s="132"/>
      <c r="AF47" s="132"/>
      <c r="AG47" s="44"/>
      <c r="AH47" s="132"/>
      <c r="AI47" s="132"/>
      <c r="AJ47" s="44"/>
      <c r="AK47" s="132"/>
      <c r="AL47" s="132"/>
      <c r="AM47" s="44"/>
      <c r="AN47" s="132"/>
      <c r="AO47" s="132"/>
      <c r="AP47" s="44"/>
      <c r="AQ47" s="132"/>
      <c r="AR47" s="132"/>
      <c r="AS47" s="44"/>
      <c r="AT47" s="132"/>
      <c r="AU47" s="132"/>
      <c r="AV47" s="44"/>
      <c r="AW47" s="132"/>
      <c r="AX47" s="132"/>
      <c r="AY47" s="44"/>
      <c r="AZ47" s="132"/>
      <c r="BA47" s="132"/>
      <c r="BB47" s="44"/>
      <c r="BC47" s="132"/>
      <c r="BD47" s="132"/>
      <c r="BE47" s="132"/>
      <c r="BF47" s="44"/>
      <c r="BG47" s="132"/>
      <c r="BH47" s="132"/>
      <c r="BI47" s="132"/>
      <c r="BJ47" s="132"/>
      <c r="BK47" s="44"/>
      <c r="BL47" s="132"/>
      <c r="BM47" s="132"/>
      <c r="BN47" s="44"/>
      <c r="BO47" s="132"/>
      <c r="BP47" s="132"/>
      <c r="BQ47" s="44"/>
      <c r="BR47" s="132"/>
      <c r="BS47" s="132"/>
      <c r="BT47" s="44"/>
      <c r="BU47" s="132"/>
      <c r="BV47" s="132"/>
      <c r="BW47" s="44"/>
      <c r="BX47" s="132"/>
      <c r="BY47" s="132"/>
      <c r="BZ47" s="44"/>
      <c r="CA47" s="132"/>
      <c r="CB47" s="3"/>
      <c r="CD47" s="44"/>
      <c r="CF47" s="44"/>
      <c r="CH47" s="44"/>
      <c r="CK47" s="44"/>
      <c r="CN47" s="44"/>
      <c r="CP47" s="44"/>
      <c r="CR47" s="44"/>
      <c r="CS47" s="44"/>
    </row>
    <row r="48" spans="1:97" ht="15.75" customHeight="1">
      <c r="A48" s="3"/>
      <c r="B48" s="147">
        <v>0.83333333333333337</v>
      </c>
      <c r="C48" s="132"/>
      <c r="D48" s="44"/>
      <c r="E48" s="132"/>
      <c r="F48" s="143"/>
      <c r="G48" s="143"/>
      <c r="H48" s="136"/>
      <c r="I48" s="142"/>
      <c r="J48" s="143"/>
      <c r="K48" s="143"/>
      <c r="L48" s="132"/>
      <c r="M48" s="152">
        <v>0.91666666666666663</v>
      </c>
      <c r="N48" s="161"/>
      <c r="O48" s="161"/>
      <c r="P48" s="161"/>
      <c r="Q48" s="162"/>
      <c r="R48" s="163"/>
      <c r="S48" s="164"/>
      <c r="T48" s="165"/>
      <c r="U48" s="166"/>
      <c r="V48" s="167"/>
      <c r="W48" s="168"/>
      <c r="AA48" s="132"/>
      <c r="AB48" s="132"/>
      <c r="AC48" s="132"/>
      <c r="AD48" s="44"/>
      <c r="AE48" s="132"/>
      <c r="AF48" s="132"/>
      <c r="AG48" s="44"/>
      <c r="AH48" s="132"/>
      <c r="AI48" s="132"/>
      <c r="AJ48" s="44"/>
      <c r="AK48" s="132"/>
      <c r="AL48" s="132"/>
      <c r="AM48" s="44"/>
      <c r="AN48" s="132"/>
      <c r="AO48" s="132"/>
      <c r="AP48" s="44"/>
      <c r="AQ48" s="132"/>
      <c r="AR48" s="132"/>
      <c r="AS48" s="44"/>
      <c r="AT48" s="132"/>
      <c r="AU48" s="132"/>
      <c r="AV48" s="44"/>
      <c r="AW48" s="132"/>
      <c r="AX48" s="132"/>
      <c r="AY48" s="44"/>
      <c r="AZ48" s="132"/>
      <c r="BA48" s="132"/>
      <c r="BB48" s="44"/>
      <c r="BC48" s="132"/>
      <c r="BD48" s="132"/>
      <c r="BE48" s="132"/>
      <c r="BF48" s="44"/>
      <c r="BG48" s="132"/>
      <c r="BH48" s="132"/>
      <c r="BI48" s="132"/>
      <c r="BJ48" s="132"/>
      <c r="BK48" s="44"/>
      <c r="BL48" s="132"/>
      <c r="BM48" s="132"/>
      <c r="BN48" s="44"/>
      <c r="BO48" s="132"/>
      <c r="BP48" s="132"/>
      <c r="BQ48" s="44"/>
      <c r="BR48" s="132"/>
      <c r="BS48" s="132"/>
      <c r="BT48" s="44"/>
      <c r="BU48" s="132"/>
      <c r="BV48" s="132"/>
      <c r="BW48" s="44"/>
      <c r="BX48" s="132"/>
      <c r="BY48" s="132"/>
      <c r="BZ48" s="44"/>
      <c r="CA48" s="132"/>
      <c r="CB48" s="3"/>
      <c r="CD48" s="44"/>
      <c r="CF48" s="44"/>
      <c r="CH48" s="44"/>
      <c r="CK48" s="44"/>
      <c r="CN48" s="44"/>
      <c r="CP48" s="44"/>
      <c r="CR48" s="44"/>
      <c r="CS48" s="44"/>
    </row>
    <row r="49" spans="1:97" ht="15.75" customHeight="1">
      <c r="A49" s="3"/>
      <c r="B49" s="147">
        <v>0.91666666666666663</v>
      </c>
      <c r="C49" s="132"/>
      <c r="D49" s="44"/>
      <c r="E49" s="132"/>
      <c r="F49" s="143"/>
      <c r="G49" s="143"/>
      <c r="H49" s="137"/>
      <c r="I49" s="142"/>
      <c r="J49" s="143"/>
      <c r="K49" s="143"/>
      <c r="L49" s="132"/>
      <c r="M49" s="132"/>
      <c r="N49" s="44"/>
      <c r="O49" s="132"/>
      <c r="P49" s="132"/>
      <c r="Q49" s="44"/>
      <c r="R49" s="132"/>
      <c r="S49" s="132"/>
      <c r="T49" s="44"/>
      <c r="U49" s="132"/>
      <c r="V49" s="132"/>
      <c r="W49" s="132"/>
      <c r="X49" s="132"/>
      <c r="Y49" s="44"/>
      <c r="Z49" s="132"/>
      <c r="AA49" s="132"/>
      <c r="AB49" s="132"/>
      <c r="AC49" s="132"/>
      <c r="AD49" s="44"/>
      <c r="AE49" s="132"/>
      <c r="AF49" s="132"/>
      <c r="AG49" s="44"/>
      <c r="AH49" s="132"/>
      <c r="AI49" s="132"/>
      <c r="AJ49" s="44"/>
      <c r="AK49" s="132"/>
      <c r="AL49" s="132"/>
      <c r="AM49" s="44"/>
      <c r="AN49" s="132"/>
      <c r="AO49" s="132"/>
      <c r="AP49" s="44"/>
      <c r="AQ49" s="132"/>
      <c r="AR49" s="132"/>
      <c r="AS49" s="44"/>
      <c r="AT49" s="132"/>
      <c r="AU49" s="132"/>
      <c r="AV49" s="44"/>
      <c r="AW49" s="132"/>
      <c r="AX49" s="132"/>
      <c r="AY49" s="44"/>
      <c r="AZ49" s="132"/>
      <c r="BA49" s="132"/>
      <c r="BB49" s="44"/>
      <c r="BC49" s="132"/>
      <c r="BD49" s="132"/>
      <c r="BE49" s="132"/>
      <c r="BF49" s="44"/>
      <c r="BG49" s="132"/>
      <c r="BH49" s="132"/>
      <c r="BI49" s="132"/>
      <c r="BJ49" s="132"/>
      <c r="BK49" s="44"/>
      <c r="BL49" s="132"/>
      <c r="BM49" s="132"/>
      <c r="BN49" s="44"/>
      <c r="BO49" s="132"/>
      <c r="BP49" s="132"/>
      <c r="BQ49" s="44"/>
      <c r="BR49" s="132"/>
      <c r="BS49" s="132"/>
      <c r="BT49" s="44"/>
      <c r="BU49" s="132"/>
      <c r="BV49" s="132"/>
      <c r="BW49" s="44"/>
      <c r="BX49" s="132"/>
      <c r="BY49" s="132"/>
      <c r="BZ49" s="44"/>
      <c r="CA49" s="132"/>
      <c r="CB49" s="3"/>
      <c r="CD49" s="44"/>
      <c r="CF49" s="44"/>
      <c r="CH49" s="44"/>
      <c r="CK49" s="44"/>
      <c r="CN49" s="44"/>
      <c r="CP49" s="44"/>
      <c r="CR49" s="44"/>
      <c r="CS49" s="44"/>
    </row>
    <row r="50" spans="1:97" ht="15.75" customHeight="1">
      <c r="A50" s="3"/>
      <c r="B50" s="132"/>
      <c r="C50" s="132"/>
      <c r="D50" s="44"/>
      <c r="E50" s="132"/>
      <c r="F50" s="150"/>
      <c r="G50" s="132"/>
      <c r="H50" s="132"/>
      <c r="I50" s="44"/>
      <c r="J50" s="132"/>
      <c r="K50" s="132"/>
      <c r="L50" s="132"/>
      <c r="M50" s="132"/>
      <c r="N50" s="44"/>
      <c r="O50" s="132"/>
      <c r="P50" s="132"/>
      <c r="Q50" s="44"/>
      <c r="R50" s="132"/>
      <c r="S50" s="132"/>
      <c r="T50" s="44"/>
      <c r="U50" s="132"/>
      <c r="V50" s="132"/>
      <c r="W50" s="132"/>
      <c r="X50" s="132"/>
      <c r="Y50" s="44"/>
      <c r="Z50" s="132"/>
      <c r="AA50" s="132"/>
      <c r="AB50" s="132"/>
      <c r="AC50" s="132"/>
      <c r="AD50" s="44"/>
      <c r="AE50" s="132"/>
      <c r="AF50" s="132"/>
      <c r="AG50" s="44"/>
      <c r="AH50" s="132"/>
      <c r="AI50" s="132"/>
      <c r="AJ50" s="44"/>
      <c r="AK50" s="132"/>
      <c r="AL50" s="132"/>
      <c r="AM50" s="44"/>
      <c r="AN50" s="132"/>
      <c r="AO50" s="132"/>
      <c r="AP50" s="44"/>
      <c r="AQ50" s="132"/>
      <c r="AR50" s="132"/>
      <c r="AS50" s="44"/>
      <c r="AT50" s="132"/>
      <c r="AU50" s="132"/>
      <c r="AV50" s="44"/>
      <c r="AW50" s="132"/>
      <c r="AX50" s="132"/>
      <c r="AY50" s="44"/>
      <c r="AZ50" s="132"/>
      <c r="BA50" s="132"/>
      <c r="BB50" s="44"/>
      <c r="BC50" s="132"/>
      <c r="BD50" s="132"/>
      <c r="BE50" s="132"/>
      <c r="BF50" s="44"/>
      <c r="BG50" s="132"/>
      <c r="BH50" s="132"/>
      <c r="BI50" s="132"/>
      <c r="BJ50" s="132"/>
      <c r="BK50" s="44"/>
      <c r="BL50" s="132"/>
      <c r="BM50" s="132"/>
      <c r="BN50" s="44"/>
      <c r="BO50" s="132"/>
      <c r="BP50" s="132"/>
      <c r="BQ50" s="44"/>
      <c r="BR50" s="132"/>
      <c r="BS50" s="132"/>
      <c r="BT50" s="44"/>
      <c r="BU50" s="132"/>
      <c r="BV50" s="132"/>
      <c r="BW50" s="44"/>
      <c r="BX50" s="132"/>
      <c r="BY50" s="132"/>
      <c r="BZ50" s="44"/>
      <c r="CA50" s="132"/>
      <c r="CB50" s="3"/>
      <c r="CD50" s="44"/>
      <c r="CF50" s="44"/>
      <c r="CH50" s="44"/>
      <c r="CK50" s="44"/>
      <c r="CN50" s="44"/>
      <c r="CP50" s="44"/>
      <c r="CR50" s="44"/>
      <c r="CS50" s="44"/>
    </row>
    <row r="51" spans="1:97" ht="15.75" customHeight="1">
      <c r="A51" s="1"/>
      <c r="P51" s="4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172"/>
      <c r="CC51" s="176"/>
      <c r="CD51" s="172"/>
      <c r="CE51" s="176"/>
      <c r="CF51" s="172"/>
      <c r="CG51" s="176"/>
      <c r="CO51" s="172"/>
      <c r="CP51" s="176"/>
      <c r="CR51" s="39"/>
      <c r="CS51" s="39"/>
    </row>
    <row r="52" spans="1:97" ht="14.25">
      <c r="A52" s="1"/>
      <c r="P52" s="4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4"/>
      <c r="CC52" s="4"/>
      <c r="CD52" s="4"/>
      <c r="CE52" s="4"/>
      <c r="CF52" s="4"/>
      <c r="CG52" s="4"/>
      <c r="CO52" s="4"/>
      <c r="CP52" s="4"/>
      <c r="CR52" s="40"/>
      <c r="CS52" s="40"/>
    </row>
    <row r="53" spans="1:97" ht="14.25">
      <c r="A53" s="1"/>
      <c r="P53" s="4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4"/>
      <c r="CC53" s="4"/>
      <c r="CD53" s="4"/>
      <c r="CE53" s="4"/>
      <c r="CF53" s="4"/>
      <c r="CG53" s="4"/>
      <c r="CO53" s="4"/>
      <c r="CP53" s="4"/>
      <c r="CR53" s="39"/>
      <c r="CS53" s="39"/>
    </row>
    <row r="54" spans="1:97" ht="14.25">
      <c r="A54" s="4"/>
      <c r="P54" s="4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41"/>
      <c r="CC54" s="41"/>
      <c r="CD54" s="41"/>
      <c r="CE54" s="41"/>
      <c r="CF54" s="41"/>
      <c r="CG54" s="41"/>
      <c r="CO54" s="41"/>
      <c r="CP54" s="41"/>
      <c r="CR54" s="39"/>
      <c r="CS54" s="39"/>
    </row>
    <row r="55" spans="1:97" ht="14.25">
      <c r="A55" s="2"/>
      <c r="P55" s="4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42"/>
      <c r="CC55" s="4"/>
      <c r="CD55" s="42"/>
      <c r="CE55" s="42"/>
      <c r="CF55" s="4"/>
      <c r="CG55" s="42"/>
      <c r="CO55" s="42"/>
      <c r="CP55" s="42"/>
      <c r="CR55" s="39"/>
      <c r="CS55" s="39"/>
    </row>
    <row r="56" spans="1:97" ht="14.25">
      <c r="A56" s="2"/>
      <c r="P56" s="4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6"/>
      <c r="CO56" s="4"/>
      <c r="CP56" s="4"/>
      <c r="CR56" s="39"/>
      <c r="CS56" s="39"/>
    </row>
    <row r="57" spans="1:97" ht="14.25">
      <c r="A57" s="2"/>
      <c r="P57" s="4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6"/>
      <c r="CC57" s="5"/>
      <c r="CD57" s="5"/>
      <c r="CG57" s="5"/>
      <c r="CO57" s="4"/>
      <c r="CP57" s="4"/>
      <c r="CR57" s="39"/>
      <c r="CS57" s="39"/>
    </row>
    <row r="58" spans="1:97" ht="14.25">
      <c r="A58" s="2"/>
      <c r="P58" s="4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6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6"/>
      <c r="CC58" s="5"/>
      <c r="CD58" s="5"/>
      <c r="CG58" s="5"/>
      <c r="CO58" s="4"/>
      <c r="CP58" s="4"/>
      <c r="CR58" s="39"/>
      <c r="CS58" s="39"/>
    </row>
    <row r="59" spans="1:97" ht="14.25">
      <c r="A59" s="2"/>
      <c r="P59" s="4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6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6"/>
      <c r="CC59" s="5"/>
      <c r="CD59" s="5"/>
      <c r="CG59" s="5"/>
      <c r="CO59" s="4"/>
      <c r="CP59" s="4"/>
    </row>
    <row r="60" spans="1:97" ht="14.25">
      <c r="A60" s="2"/>
      <c r="P60" s="4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6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6"/>
      <c r="CC60" s="5"/>
      <c r="CD60" s="5"/>
      <c r="CG60" s="5"/>
      <c r="CO60" s="4"/>
      <c r="CP60" s="4"/>
    </row>
    <row r="61" spans="1:97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44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6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6"/>
      <c r="CC61" s="5"/>
      <c r="CD61" s="5"/>
      <c r="CG61" s="5"/>
    </row>
    <row r="62" spans="1:97" ht="12.75">
      <c r="L62" s="44"/>
      <c r="AH62" s="6"/>
      <c r="BK62" s="6"/>
      <c r="CB62" s="6"/>
      <c r="CC62" s="5"/>
      <c r="CD62" s="5"/>
      <c r="CG62" s="5"/>
    </row>
    <row r="63" spans="1:97" ht="12.75">
      <c r="L63" s="44"/>
      <c r="AH63" s="6"/>
      <c r="BK63" s="6"/>
      <c r="CB63" s="6"/>
      <c r="CC63" s="5"/>
      <c r="CD63" s="5"/>
      <c r="CG63" s="5"/>
    </row>
    <row r="64" spans="1:97" ht="12.75">
      <c r="AH64" s="6"/>
      <c r="BK64" s="6"/>
      <c r="CB64" s="6"/>
      <c r="CC64" s="5"/>
      <c r="CD64" s="5"/>
      <c r="CG64" s="5"/>
    </row>
    <row r="65" spans="2:85" ht="12.75">
      <c r="B65" s="178" t="s">
        <v>132</v>
      </c>
      <c r="C65" s="178"/>
      <c r="D65" s="178"/>
      <c r="E65" s="178"/>
      <c r="F65" s="178"/>
      <c r="G65" s="46"/>
      <c r="H65" s="178"/>
      <c r="I65" s="178"/>
      <c r="K65" s="178"/>
      <c r="L65" s="178"/>
      <c r="AH65" s="6"/>
      <c r="BK65" s="6"/>
      <c r="CB65" s="6"/>
      <c r="CC65" s="5"/>
      <c r="CD65" s="5"/>
      <c r="CG65" s="5"/>
    </row>
    <row r="66" spans="2:85" ht="12.75">
      <c r="B66" s="6" t="s">
        <v>78</v>
      </c>
      <c r="C66" s="48">
        <v>80</v>
      </c>
      <c r="D66" s="48"/>
      <c r="E66" s="44"/>
      <c r="F66" s="48">
        <v>80</v>
      </c>
      <c r="G66" s="45"/>
      <c r="H66" s="45"/>
      <c r="I66" s="44"/>
      <c r="K66" s="50"/>
      <c r="L66" s="44"/>
      <c r="M66" s="44"/>
      <c r="AH66" s="6"/>
      <c r="CB66" s="6"/>
      <c r="CC66" s="5"/>
      <c r="CD66" s="5"/>
      <c r="CG66" s="5"/>
    </row>
    <row r="67" spans="2:85" ht="12.75">
      <c r="B67" s="6" t="s">
        <v>77</v>
      </c>
      <c r="C67" s="48">
        <v>80</v>
      </c>
      <c r="D67" s="48"/>
      <c r="E67" s="44"/>
      <c r="F67" s="48">
        <v>80</v>
      </c>
      <c r="G67" s="6"/>
      <c r="H67" s="6"/>
      <c r="I67" s="44"/>
      <c r="K67" s="50"/>
      <c r="L67" s="44"/>
      <c r="M67" s="44"/>
      <c r="AH67" s="6"/>
      <c r="CB67" s="6"/>
      <c r="CC67" s="5"/>
      <c r="CD67" s="5"/>
      <c r="CG67" s="5"/>
    </row>
    <row r="68" spans="2:85" ht="12.75">
      <c r="B68" s="6" t="s">
        <v>118</v>
      </c>
      <c r="C68" s="48">
        <v>280</v>
      </c>
      <c r="D68" s="48"/>
      <c r="E68" s="44"/>
      <c r="F68" s="48">
        <v>280</v>
      </c>
      <c r="G68" s="6"/>
      <c r="H68" s="6"/>
      <c r="I68" s="44"/>
      <c r="K68" s="49"/>
      <c r="L68" s="44"/>
      <c r="M68" s="44"/>
      <c r="AH68" s="6"/>
      <c r="CB68" s="6"/>
      <c r="CC68" s="5"/>
      <c r="CD68" s="5"/>
      <c r="CG68" s="5"/>
    </row>
    <row r="69" spans="2:85" ht="13.5" customHeight="1">
      <c r="B69" s="6" t="s">
        <v>119</v>
      </c>
      <c r="C69" s="48">
        <v>160</v>
      </c>
      <c r="D69" s="48"/>
      <c r="E69" s="44"/>
      <c r="F69" s="48">
        <v>160</v>
      </c>
      <c r="G69" s="6"/>
      <c r="H69" s="6"/>
      <c r="I69" s="44"/>
      <c r="K69" s="49"/>
      <c r="L69" s="44"/>
      <c r="M69" s="44"/>
      <c r="N69" s="47"/>
      <c r="AH69" s="6"/>
      <c r="CB69" s="6"/>
      <c r="CC69" s="5"/>
      <c r="CD69" s="5"/>
      <c r="CG69" s="5"/>
    </row>
    <row r="70" spans="2:85" ht="13.5" customHeight="1">
      <c r="B70" s="6" t="s">
        <v>61</v>
      </c>
      <c r="C70" s="48">
        <v>160</v>
      </c>
      <c r="D70" s="48"/>
      <c r="E70" s="44"/>
      <c r="F70" s="48">
        <v>160</v>
      </c>
      <c r="G70" s="6"/>
      <c r="H70" s="6"/>
      <c r="I70" s="44"/>
      <c r="K70" s="49"/>
      <c r="L70" s="44"/>
    </row>
    <row r="71" spans="2:85" ht="12.75">
      <c r="B71" s="6">
        <v>56</v>
      </c>
      <c r="C71" s="48">
        <v>160</v>
      </c>
      <c r="D71" s="48"/>
      <c r="E71" s="44"/>
      <c r="F71" s="48">
        <v>160</v>
      </c>
      <c r="G71" s="6"/>
      <c r="H71" s="6"/>
      <c r="I71" s="44"/>
      <c r="K71" s="49"/>
      <c r="L71" s="44"/>
    </row>
    <row r="72" spans="2:85" ht="13.5" customHeight="1">
      <c r="B72" s="6" t="s">
        <v>120</v>
      </c>
      <c r="C72" s="48">
        <v>160</v>
      </c>
      <c r="D72" s="48"/>
      <c r="E72" s="44"/>
      <c r="F72" s="48">
        <v>160</v>
      </c>
      <c r="G72" s="6"/>
      <c r="H72" s="6"/>
      <c r="I72" s="44"/>
      <c r="K72" s="49"/>
      <c r="L72" s="44"/>
    </row>
    <row r="73" spans="2:85" ht="13.5" customHeight="1">
      <c r="B73" s="6" t="s">
        <v>133</v>
      </c>
      <c r="C73" s="48">
        <v>16</v>
      </c>
      <c r="D73" s="48"/>
      <c r="E73" s="44"/>
      <c r="F73" s="48">
        <v>16</v>
      </c>
      <c r="G73" s="45"/>
      <c r="H73" s="45"/>
      <c r="I73" s="44"/>
      <c r="K73" s="49"/>
      <c r="L73" s="44"/>
    </row>
    <row r="74" spans="2:85" ht="12.75">
      <c r="B74" s="6" t="s">
        <v>70</v>
      </c>
      <c r="C74" s="48">
        <v>120</v>
      </c>
      <c r="D74" s="48"/>
      <c r="E74" s="44"/>
      <c r="F74" s="48">
        <v>120</v>
      </c>
      <c r="G74" s="6"/>
      <c r="H74" s="6"/>
      <c r="K74" s="49"/>
      <c r="L74" s="44"/>
    </row>
    <row r="75" spans="2:85" ht="12.75">
      <c r="B75" s="6" t="s">
        <v>71</v>
      </c>
      <c r="C75" s="48">
        <v>66</v>
      </c>
      <c r="D75" s="48"/>
      <c r="E75" s="44"/>
      <c r="F75" s="48">
        <v>66</v>
      </c>
      <c r="G75" s="6"/>
      <c r="H75" s="6"/>
      <c r="K75" s="49"/>
      <c r="L75" s="44"/>
    </row>
    <row r="76" spans="2:85" ht="13.5" customHeight="1">
      <c r="B76" s="6" t="s">
        <v>121</v>
      </c>
      <c r="C76" s="48">
        <v>280</v>
      </c>
      <c r="D76" s="48"/>
      <c r="E76" s="44"/>
      <c r="F76" s="48">
        <v>280</v>
      </c>
      <c r="G76" s="6"/>
      <c r="H76" s="6"/>
      <c r="K76" s="49"/>
      <c r="L76" s="44"/>
    </row>
    <row r="77" spans="2:85" ht="12.75">
      <c r="B77" s="6">
        <v>51.52</v>
      </c>
      <c r="C77" s="48">
        <v>160</v>
      </c>
      <c r="D77" s="48"/>
      <c r="E77" s="44"/>
      <c r="F77" s="48">
        <v>160</v>
      </c>
      <c r="G77" s="6"/>
      <c r="H77" s="6"/>
      <c r="K77" s="49"/>
      <c r="L77" s="44"/>
    </row>
    <row r="78" spans="2:85" ht="13.5" customHeight="1">
      <c r="B78" s="6" t="s">
        <v>122</v>
      </c>
      <c r="C78" s="48">
        <v>80</v>
      </c>
      <c r="D78" s="48"/>
      <c r="E78" s="44"/>
      <c r="F78" s="48">
        <v>80</v>
      </c>
      <c r="G78" s="6"/>
      <c r="H78" s="6"/>
      <c r="K78" s="49"/>
      <c r="L78" s="44"/>
    </row>
    <row r="79" spans="2:85" ht="13.5" customHeight="1">
      <c r="B79" s="6">
        <v>53</v>
      </c>
      <c r="C79" s="48">
        <v>160</v>
      </c>
      <c r="D79" s="48"/>
      <c r="E79" s="44"/>
      <c r="F79" s="48">
        <v>160</v>
      </c>
      <c r="G79" s="6"/>
      <c r="H79" s="6"/>
      <c r="K79" s="49"/>
      <c r="L79" s="44"/>
    </row>
    <row r="80" spans="2:85" ht="13.5" customHeight="1">
      <c r="B80" s="6" t="s">
        <v>72</v>
      </c>
      <c r="C80" s="48">
        <v>52</v>
      </c>
      <c r="D80" s="48"/>
      <c r="E80" s="44"/>
      <c r="F80" s="48">
        <v>52</v>
      </c>
      <c r="G80" s="6"/>
      <c r="H80" s="6"/>
      <c r="K80" s="49"/>
      <c r="L80" s="51"/>
    </row>
    <row r="81" spans="2:12" ht="13.5" customHeight="1">
      <c r="B81" s="6" t="s">
        <v>123</v>
      </c>
      <c r="C81" s="48">
        <v>80</v>
      </c>
      <c r="D81" s="48"/>
      <c r="E81" s="44"/>
      <c r="F81" s="48">
        <v>80</v>
      </c>
      <c r="G81" s="6"/>
      <c r="H81" s="6"/>
      <c r="K81" s="49"/>
      <c r="L81" s="51"/>
    </row>
    <row r="82" spans="2:12" ht="13.5" customHeight="1">
      <c r="B82" s="6" t="s">
        <v>124</v>
      </c>
      <c r="C82" s="48">
        <v>80</v>
      </c>
      <c r="D82" s="48"/>
      <c r="E82" s="44"/>
      <c r="F82" s="48">
        <v>80</v>
      </c>
      <c r="G82" s="6"/>
      <c r="H82" s="6"/>
      <c r="K82" s="49"/>
      <c r="L82" s="51"/>
    </row>
    <row r="83" spans="2:12" ht="12.75">
      <c r="B83" s="6" t="s">
        <v>73</v>
      </c>
      <c r="C83" s="48">
        <v>80</v>
      </c>
      <c r="D83" s="48"/>
      <c r="E83" s="44"/>
      <c r="F83" s="48">
        <v>80</v>
      </c>
      <c r="G83" s="6"/>
      <c r="H83" s="6"/>
    </row>
    <row r="84" spans="2:12" ht="12.75">
      <c r="B84" s="6" t="s">
        <v>125</v>
      </c>
      <c r="C84" s="48">
        <v>80</v>
      </c>
      <c r="D84" s="48"/>
      <c r="E84" s="44"/>
      <c r="F84" s="48">
        <v>80</v>
      </c>
      <c r="G84" s="6"/>
      <c r="H84" s="6"/>
    </row>
    <row r="85" spans="2:12" ht="12.75">
      <c r="B85" s="6" t="s">
        <v>76</v>
      </c>
      <c r="C85" s="48">
        <v>160</v>
      </c>
      <c r="D85" s="48"/>
      <c r="E85" s="44"/>
      <c r="F85" s="48">
        <v>160</v>
      </c>
      <c r="G85" s="6"/>
      <c r="H85" s="6"/>
    </row>
    <row r="86" spans="2:12" ht="12.75">
      <c r="B86" s="6" t="s">
        <v>134</v>
      </c>
      <c r="C86" s="48">
        <v>280</v>
      </c>
      <c r="D86" s="48"/>
      <c r="E86" s="44"/>
      <c r="F86" s="48">
        <v>280</v>
      </c>
      <c r="G86" s="6"/>
      <c r="H86" s="6"/>
    </row>
    <row r="87" spans="2:12" ht="12.75">
      <c r="B87" s="6" t="s">
        <v>126</v>
      </c>
      <c r="C87" s="48">
        <v>168</v>
      </c>
      <c r="D87" s="48"/>
      <c r="E87" s="44"/>
      <c r="F87" s="48">
        <v>168</v>
      </c>
      <c r="G87" s="6"/>
      <c r="H87" s="6"/>
    </row>
    <row r="88" spans="2:12" ht="12.75">
      <c r="B88" s="6">
        <v>18</v>
      </c>
      <c r="C88" s="48">
        <v>120</v>
      </c>
      <c r="D88" s="48"/>
      <c r="E88" s="44"/>
      <c r="F88" s="48">
        <v>120</v>
      </c>
      <c r="G88" s="6"/>
      <c r="H88" s="6"/>
    </row>
    <row r="89" spans="2:12" ht="12.75">
      <c r="B89" s="6" t="s">
        <v>127</v>
      </c>
      <c r="C89" s="48">
        <v>120</v>
      </c>
      <c r="D89" s="48"/>
      <c r="E89" s="44"/>
      <c r="F89" s="48">
        <v>120</v>
      </c>
      <c r="G89" s="6"/>
      <c r="H89" s="6"/>
    </row>
    <row r="90" spans="2:12" ht="12.75">
      <c r="B90" s="6">
        <v>6</v>
      </c>
      <c r="C90" s="48">
        <v>160</v>
      </c>
      <c r="D90" s="48"/>
      <c r="E90" s="44"/>
      <c r="F90" s="48">
        <v>160</v>
      </c>
      <c r="G90" s="6"/>
      <c r="H90" s="6"/>
    </row>
    <row r="91" spans="2:12" ht="12.75">
      <c r="B91" s="6" t="s">
        <v>128</v>
      </c>
      <c r="C91" s="48">
        <v>160</v>
      </c>
      <c r="D91" s="48"/>
      <c r="E91" s="44"/>
      <c r="F91" s="48">
        <v>160</v>
      </c>
      <c r="G91" s="6"/>
      <c r="H91" s="6"/>
    </row>
    <row r="92" spans="2:12" ht="12.75">
      <c r="B92" s="6" t="s">
        <v>129</v>
      </c>
      <c r="C92" s="48">
        <v>52</v>
      </c>
      <c r="D92" s="48"/>
      <c r="E92" s="44"/>
      <c r="F92" s="48">
        <v>52</v>
      </c>
      <c r="G92" s="6"/>
      <c r="H92" s="6"/>
    </row>
    <row r="93" spans="2:12" ht="12.75">
      <c r="B93" s="6"/>
    </row>
  </sheetData>
  <mergeCells count="73">
    <mergeCell ref="R28:T28"/>
    <mergeCell ref="U28:W28"/>
    <mergeCell ref="B28:B31"/>
    <mergeCell ref="B16:B19"/>
    <mergeCell ref="B2:U2"/>
    <mergeCell ref="N42:P42"/>
    <mergeCell ref="N39:R39"/>
    <mergeCell ref="N40:Q40"/>
    <mergeCell ref="S39:W39"/>
    <mergeCell ref="F39:K39"/>
    <mergeCell ref="F40:G40"/>
    <mergeCell ref="H40:I40"/>
    <mergeCell ref="J40:K40"/>
    <mergeCell ref="B40:B43"/>
    <mergeCell ref="F27:AF27"/>
    <mergeCell ref="F28:G28"/>
    <mergeCell ref="H28:N28"/>
    <mergeCell ref="O28:Q28"/>
    <mergeCell ref="V16:X16"/>
    <mergeCell ref="Y16:AA16"/>
    <mergeCell ref="AB16:AD16"/>
    <mergeCell ref="AE16:AG16"/>
    <mergeCell ref="X28:Z28"/>
    <mergeCell ref="AA28:AC28"/>
    <mergeCell ref="AD28:AF28"/>
    <mergeCell ref="B65:F65"/>
    <mergeCell ref="H65:I65"/>
    <mergeCell ref="M39:M42"/>
    <mergeCell ref="CQ3:CR3"/>
    <mergeCell ref="BM3:BO3"/>
    <mergeCell ref="BP3:BR3"/>
    <mergeCell ref="BS3:BU3"/>
    <mergeCell ref="BV3:BX3"/>
    <mergeCell ref="BY3:CA3"/>
    <mergeCell ref="CB3:CD3"/>
    <mergeCell ref="CM3:CN3"/>
    <mergeCell ref="CO3:CP3"/>
    <mergeCell ref="CB51:CC51"/>
    <mergeCell ref="CD51:CE51"/>
    <mergeCell ref="K65:L65"/>
    <mergeCell ref="B3:B6"/>
    <mergeCell ref="BC3:BI3"/>
    <mergeCell ref="BJ3:BL3"/>
    <mergeCell ref="V3:AB3"/>
    <mergeCell ref="CO51:CP51"/>
    <mergeCell ref="CF51:CG51"/>
    <mergeCell ref="AF3:AH3"/>
    <mergeCell ref="AI3:AK3"/>
    <mergeCell ref="AL3:AN3"/>
    <mergeCell ref="AO3:AQ3"/>
    <mergeCell ref="F15:AJ15"/>
    <mergeCell ref="F16:L16"/>
    <mergeCell ref="M16:O16"/>
    <mergeCell ref="P16:R16"/>
    <mergeCell ref="S16:U16"/>
    <mergeCell ref="AC3:AE3"/>
    <mergeCell ref="AH16:AJ16"/>
    <mergeCell ref="CB2:CL2"/>
    <mergeCell ref="CG3:CI3"/>
    <mergeCell ref="CJ3:CL3"/>
    <mergeCell ref="CM2:CR2"/>
    <mergeCell ref="C3:D3"/>
    <mergeCell ref="F3:L3"/>
    <mergeCell ref="M3:O3"/>
    <mergeCell ref="P3:R3"/>
    <mergeCell ref="S3:U3"/>
    <mergeCell ref="V2:AZ2"/>
    <mergeCell ref="BA2:CA2"/>
    <mergeCell ref="AR3:AT3"/>
    <mergeCell ref="AU3:AW3"/>
    <mergeCell ref="AX3:AZ3"/>
    <mergeCell ref="BA3:BB3"/>
    <mergeCell ref="CE3:CF3"/>
  </mergeCells>
  <phoneticPr fontId="10" type="noConversion"/>
  <conditionalFormatting sqref="D7:D8 CC55">
    <cfRule type="expression" dxfId="111" priority="87">
      <formula>D7:D12&gt;$C$66</formula>
    </cfRule>
  </conditionalFormatting>
  <conditionalFormatting sqref="D7:D12">
    <cfRule type="expression" dxfId="110" priority="170">
      <formula>AND(D7&lt;&gt;"", INDIRECT("'"&amp;$A$1&amp;"'!"&amp;CELL("address",D7))&lt;&gt;"", D7 &gt;= INDIRECT("'"&amp;$A$1&amp;"'!"&amp;CELL("address",D7))*1.2)</formula>
    </cfRule>
    <cfRule type="expression" dxfId="109" priority="171">
      <formula>AND(D7&lt;&gt;"", INDIRECT("'"&amp;$A$1&amp;"'!"&amp;CELL("address",D7))&lt;&gt;"", D7 &lt;= INDIRECT("'"&amp;$A$1&amp;"'!"&amp;CELL("address",D7))*0.8)</formula>
    </cfRule>
  </conditionalFormatting>
  <conditionalFormatting sqref="D9:D12">
    <cfRule type="expression" dxfId="108" priority="430">
      <formula>D9:D51&gt;$C$66</formula>
    </cfRule>
  </conditionalFormatting>
  <conditionalFormatting sqref="G32:G33">
    <cfRule type="expression" dxfId="107" priority="23">
      <formula>G32:G37&gt;$C$85</formula>
    </cfRule>
  </conditionalFormatting>
  <conditionalFormatting sqref="G32:G37 K32:K37 P32:P37 S32:S37 V32:V37 Y32:Y37 AB32:AB37 AE32:AE37">
    <cfRule type="expression" dxfId="106" priority="22">
      <formula>AND(G32&lt;&gt;"", INDIRECT("'"&amp;$A$1&amp;"'!"&amp;CELL("address",G32))&lt;&gt;"", G32 &lt;= INDIRECT("'"&amp;$A$1&amp;"'!"&amp;CELL("address",G32))*0.8)</formula>
    </cfRule>
  </conditionalFormatting>
  <conditionalFormatting sqref="G44:G49 I44:I49 K44:K49">
    <cfRule type="expression" dxfId="105" priority="4">
      <formula>AND(G44&lt;&gt;"", INDIRECT("'"&amp;$A$1&amp;"'!"&amp;CELL("address",G44))&lt;&gt;"", G44 &gt;= INDIRECT("'"&amp;$A$1&amp;"'!"&amp;CELL("address",G44))*1.2)</formula>
    </cfRule>
    <cfRule type="expression" dxfId="104" priority="5">
      <formula>AND(G44&lt;&gt;"", INDIRECT("'"&amp;$A$1&amp;"'!"&amp;CELL("address",G44))&lt;&gt;"", G44 &lt;= INDIRECT("'"&amp;$A$1&amp;"'!"&amp;CELL("address",G44))*0.8)</formula>
    </cfRule>
  </conditionalFormatting>
  <conditionalFormatting sqref="G46:G49">
    <cfRule type="expression" dxfId="103" priority="412">
      <formula>G46:G94&gt;$C$67</formula>
    </cfRule>
    <cfRule type="expression" dxfId="102" priority="413">
      <formula>AND(G46&lt;&gt;"", INDIRECT("'"&amp;$A$1&amp;"'!"&amp;CELL("address",G46))&lt;&gt;"", G46 &gt;= INDIRECT("'"&amp;$A$1&amp;"'!"&amp;CELL("address",G46))*1.2)</formula>
    </cfRule>
    <cfRule type="expression" dxfId="101" priority="414">
      <formula>AND(G46&lt;&gt;"", INDIRECT("'"&amp;$A$1&amp;"'!"&amp;CELL("address",G46))&lt;&gt;"", G46 &lt;= INDIRECT("'"&amp;$A$1&amp;"'!"&amp;CELL("address",G46))*0.8)</formula>
    </cfRule>
  </conditionalFormatting>
  <conditionalFormatting sqref="I7:I8">
    <cfRule type="expression" dxfId="100" priority="176">
      <formula>I7:I12&gt;$C$68</formula>
    </cfRule>
  </conditionalFormatting>
  <conditionalFormatting sqref="I7:I12 N7:N12 Q7:Q12 T7:T12 Y7:Y12 AD7:AD12 AG7:AG12 AJ7:AJ12 AM7:AM12 AP7:AP12 AS7:AS12 AV7:AV12 AY7:AY12 BB7:BB12 BF7:BF12 BK7:BK12 BN7:BN12 BQ7:BQ12 BT7:BT12 BW7:BW12 BZ7:BZ12">
    <cfRule type="expression" dxfId="99" priority="157">
      <formula>AND(I7&lt;&gt;"", INDIRECT("'"&amp;$A$1&amp;"'!"&amp;CELL("address",I7))&lt;&gt;"", I7 &lt;= INDIRECT("'"&amp;$A$1&amp;"'!"&amp;CELL("address",I7))*0.8)</formula>
    </cfRule>
  </conditionalFormatting>
  <conditionalFormatting sqref="I9:I12">
    <cfRule type="expression" dxfId="98" priority="431">
      <formula>I9:I51&gt;$C$68</formula>
    </cfRule>
  </conditionalFormatting>
  <conditionalFormatting sqref="I20:I21">
    <cfRule type="expression" dxfId="97" priority="41">
      <formula>I20:I25&gt;$C$76</formula>
    </cfRule>
  </conditionalFormatting>
  <conditionalFormatting sqref="I20:I25 N20:N25 Q20:Q25 T20:T25 W20:W25 Z20:Z25 AC20:AC25 AF20:AF25 AI20:AI25">
    <cfRule type="expression" dxfId="96" priority="40">
      <formula>AND(I20&lt;&gt;"", INDIRECT("'"&amp;$A$1&amp;"'!"&amp;CELL("address",I20))&lt;&gt;"", I20 &lt;= INDIRECT("'"&amp;$A$1&amp;"'!"&amp;CELL("address",I20))*0.8)</formula>
    </cfRule>
  </conditionalFormatting>
  <conditionalFormatting sqref="I46:I49">
    <cfRule type="expression" dxfId="95" priority="500">
      <formula>I46:I94&gt;$C$66</formula>
    </cfRule>
    <cfRule type="expression" dxfId="94" priority="501">
      <formula>AND(I46&lt;&gt;"", INDIRECT("'"&amp;$A$1&amp;"'!"&amp;CELL("address",I46))&lt;&gt;"", I46 &gt;= INDIRECT("'"&amp;$A$1&amp;"'!"&amp;CELL("address",I46))*1.2)</formula>
    </cfRule>
    <cfRule type="expression" dxfId="93" priority="502">
      <formula>AND(I46&lt;&gt;"", INDIRECT("'"&amp;$A$1&amp;"'!"&amp;CELL("address",I46))&lt;&gt;"", I46 &lt;= INDIRECT("'"&amp;$A$1&amp;"'!"&amp;CELL("address",I46))*0.8)</formula>
    </cfRule>
  </conditionalFormatting>
  <conditionalFormatting sqref="K32:K33">
    <cfRule type="expression" dxfId="92" priority="25">
      <formula>K32:K37&gt;$C$86</formula>
    </cfRule>
  </conditionalFormatting>
  <conditionalFormatting sqref="K46:K49">
    <cfRule type="expression" dxfId="91" priority="503">
      <formula>K46:K94&gt;$C$85</formula>
    </cfRule>
    <cfRule type="expression" dxfId="90" priority="504">
      <formula>AND(K46&lt;&gt;"", INDIRECT("'"&amp;$A$1&amp;"'!"&amp;CELL("address",K46))&lt;&gt;"", K46 &gt;= INDIRECT("'"&amp;$A$1&amp;"'!"&amp;CELL("address",K46))*1.2)</formula>
    </cfRule>
    <cfRule type="expression" dxfId="89" priority="505">
      <formula>AND(K46&lt;&gt;"", INDIRECT("'"&amp;$A$1&amp;"'!"&amp;CELL("address",K46))&lt;&gt;"", K46 &lt;= INDIRECT("'"&amp;$A$1&amp;"'!"&amp;CELL("address",K46))*0.8)</formula>
    </cfRule>
  </conditionalFormatting>
  <conditionalFormatting sqref="L7:L12 O7:O12 R7:R12 U7:U12 AB7:AB12 AE7:AE12 AH7:AH12 AK7:AK12 AN7:AN12 AQ7:AQ12 AT7:AT12 AW7:AW12 AZ7:AZ12 BI7:BI12 BL7:BL12 BO7:BO12 BR7:BR12 BU7:BU12 BX7:BX12 CA7:CA12 CI7:CI12 CL7:CL12">
    <cfRule type="expression" dxfId="88" priority="115">
      <formula>AND(L7&lt;&gt;"", INDIRECT("'"&amp;$A$1&amp;"'!"&amp;CELL("address",L7))&lt;&gt;"", ABS(1 - L7/INDIRECT("'"&amp;$A$1&amp;"'!"&amp;CELL("address",L7))) &gt;= 0.01)</formula>
    </cfRule>
  </conditionalFormatting>
  <conditionalFormatting sqref="L20:L25 O20:O25 R20:R25 U20:U25 X20:X25 AA20:AA25 AD20:AD25 AG20:AG25 AJ20:AJ25">
    <cfRule type="expression" dxfId="87" priority="39">
      <formula>AND(L20&lt;&gt;"", INDIRECT("'"&amp;$A$1&amp;"'!"&amp;CELL("address",L20))&lt;&gt;"", ABS(1 - L20/INDIRECT("'"&amp;$A$1&amp;"'!"&amp;CELL("address",L20))) &gt;= 0.01)</formula>
    </cfRule>
  </conditionalFormatting>
  <conditionalFormatting sqref="N7:N8">
    <cfRule type="expression" dxfId="86" priority="178">
      <formula>N7:N12&gt;$C$69</formula>
    </cfRule>
  </conditionalFormatting>
  <conditionalFormatting sqref="N9:N12">
    <cfRule type="expression" dxfId="85" priority="432">
      <formula>N9:N51&gt;$C$69</formula>
    </cfRule>
  </conditionalFormatting>
  <conditionalFormatting sqref="N20:N21">
    <cfRule type="expression" dxfId="84" priority="43">
      <formula>N20:N25&gt;$C$77</formula>
    </cfRule>
  </conditionalFormatting>
  <conditionalFormatting sqref="N32:N37 Q32:Q37 T32:T37 W32:W37 Z32:Z37 AC32:AC37 AF32:AF37">
    <cfRule type="expression" dxfId="83" priority="21">
      <formula>AND(N32&lt;&gt;"", INDIRECT("'"&amp;$A$1&amp;"'!"&amp;CELL("address",N32))&lt;&gt;"", ABS(1 - N32/INDIRECT("'"&amp;$A$1&amp;"'!"&amp;CELL("address",N32))) &gt;= 0.01)</formula>
    </cfRule>
  </conditionalFormatting>
  <conditionalFormatting sqref="P32:P33">
    <cfRule type="expression" dxfId="82" priority="27">
      <formula>P32:P37&gt;$C$87</formula>
    </cfRule>
  </conditionalFormatting>
  <conditionalFormatting sqref="Q7:Q8">
    <cfRule type="expression" dxfId="81" priority="180">
      <formula>Q7:Q12&gt;$C$70</formula>
    </cfRule>
  </conditionalFormatting>
  <conditionalFormatting sqref="Q9:Q12">
    <cfRule type="expression" dxfId="80" priority="433">
      <formula>Q9:Q51&gt;$C$70</formula>
    </cfRule>
  </conditionalFormatting>
  <conditionalFormatting sqref="Q20:Q21">
    <cfRule type="expression" dxfId="79" priority="45">
      <formula>Q20:Q25&gt;$C$78</formula>
    </cfRule>
  </conditionalFormatting>
  <conditionalFormatting sqref="S32:S33">
    <cfRule type="expression" dxfId="78" priority="29">
      <formula>S32:S37&gt;$C$88</formula>
    </cfRule>
  </conditionalFormatting>
  <conditionalFormatting sqref="T7:T8">
    <cfRule type="expression" dxfId="77" priority="182">
      <formula>T7:T12&gt;$C$71</formula>
    </cfRule>
  </conditionalFormatting>
  <conditionalFormatting sqref="T9:T12">
    <cfRule type="expression" dxfId="76" priority="434">
      <formula>T9:T51&gt;$C$71</formula>
    </cfRule>
  </conditionalFormatting>
  <conditionalFormatting sqref="T20:T21">
    <cfRule type="expression" dxfId="75" priority="47">
      <formula>T20:T25&gt;$C$79</formula>
    </cfRule>
  </conditionalFormatting>
  <conditionalFormatting sqref="V32:V33">
    <cfRule type="expression" dxfId="74" priority="31">
      <formula>V32:V37&gt;$C$89</formula>
    </cfRule>
  </conditionalFormatting>
  <conditionalFormatting sqref="W20:W21">
    <cfRule type="expression" dxfId="73" priority="49">
      <formula>W20:W25&gt;$C$80</formula>
    </cfRule>
  </conditionalFormatting>
  <conditionalFormatting sqref="Y7:Y8">
    <cfRule type="expression" dxfId="72" priority="184">
      <formula>Y7:Y12&gt;$C$76</formula>
    </cfRule>
  </conditionalFormatting>
  <conditionalFormatting sqref="Y9:Y12 I22:I25">
    <cfRule type="expression" dxfId="71" priority="435">
      <formula>I9:I51&gt;$C$76</formula>
    </cfRule>
  </conditionalFormatting>
  <conditionalFormatting sqref="Y32:Y33">
    <cfRule type="expression" dxfId="70" priority="33">
      <formula>Y32:Y37&gt;$C$90</formula>
    </cfRule>
  </conditionalFormatting>
  <conditionalFormatting sqref="Z20:Z21">
    <cfRule type="expression" dxfId="69" priority="51">
      <formula>Z20:Z25&gt;$C$81</formula>
    </cfRule>
  </conditionalFormatting>
  <conditionalFormatting sqref="AB32:AB33">
    <cfRule type="expression" dxfId="68" priority="35">
      <formula>AB32:AB37&gt;$C$91</formula>
    </cfRule>
  </conditionalFormatting>
  <conditionalFormatting sqref="AC20:AC21">
    <cfRule type="expression" dxfId="67" priority="53">
      <formula>AC20:AC25&gt;$C$82</formula>
    </cfRule>
  </conditionalFormatting>
  <conditionalFormatting sqref="AD7:AD8">
    <cfRule type="expression" dxfId="66" priority="186">
      <formula>AD7:AD12&gt;$C$77</formula>
    </cfRule>
  </conditionalFormatting>
  <conditionalFormatting sqref="AD9:AD12 N22:N25">
    <cfRule type="expression" dxfId="65" priority="437">
      <formula>N9:N51&gt;$C$77</formula>
    </cfRule>
  </conditionalFormatting>
  <conditionalFormatting sqref="AD13:AD14 AD26 AD38:AD51">
    <cfRule type="expression" dxfId="64" priority="79">
      <formula>AND(AD13&lt;&gt;"", INDIRECT("'" &amp; ($A$1-1) &amp; "일'!" &amp; CELL("address", AD13))&lt;&gt;"", AD13 &gt; INDIRECT("'" &amp; ($A$1-1) &amp; "일'!" &amp; CELL("address", AD13))*1.2)</formula>
    </cfRule>
  </conditionalFormatting>
  <conditionalFormatting sqref="AE32:AE33">
    <cfRule type="expression" dxfId="63" priority="37">
      <formula>AE32:AE37&gt;$C$92</formula>
    </cfRule>
  </conditionalFormatting>
  <conditionalFormatting sqref="AF20:AF21">
    <cfRule type="expression" dxfId="62" priority="55">
      <formula>AF20:AF25&gt;$C$83</formula>
    </cfRule>
  </conditionalFormatting>
  <conditionalFormatting sqref="AG7:AG8">
    <cfRule type="expression" dxfId="61" priority="188">
      <formula>AG7:AG12&gt;$C$78</formula>
    </cfRule>
  </conditionalFormatting>
  <conditionalFormatting sqref="AG9:AG12 Q22:Q25">
    <cfRule type="expression" dxfId="60" priority="439">
      <formula>Q9:Q51&gt;$C$78</formula>
    </cfRule>
  </conditionalFormatting>
  <conditionalFormatting sqref="AI20:AI21">
    <cfRule type="expression" dxfId="59" priority="57">
      <formula>AI20:AI25&gt;$C$84</formula>
    </cfRule>
  </conditionalFormatting>
  <conditionalFormatting sqref="AJ7:AJ8">
    <cfRule type="expression" dxfId="58" priority="190">
      <formula>AJ7:AJ12&gt;$C$79</formula>
    </cfRule>
  </conditionalFormatting>
  <conditionalFormatting sqref="AJ9:AJ12 T22:T25">
    <cfRule type="expression" dxfId="57" priority="441">
      <formula>T9:T51&gt;$C$79</formula>
    </cfRule>
  </conditionalFormatting>
  <conditionalFormatting sqref="AM7:AM8">
    <cfRule type="expression" dxfId="56" priority="192">
      <formula>AM7:AM12&gt;$C$80</formula>
    </cfRule>
  </conditionalFormatting>
  <conditionalFormatting sqref="AM9:AM12 W22:W25">
    <cfRule type="expression" dxfId="55" priority="443">
      <formula>W9:W51&gt;$C$80</formula>
    </cfRule>
  </conditionalFormatting>
  <conditionalFormatting sqref="AP7:AP8">
    <cfRule type="expression" dxfId="54" priority="194">
      <formula>AP7:AP12&gt;$C$81</formula>
    </cfRule>
  </conditionalFormatting>
  <conditionalFormatting sqref="AP9:AP12 Z22:Z25">
    <cfRule type="expression" dxfId="53" priority="445">
      <formula>Z9:Z51&gt;$C$81</formula>
    </cfRule>
  </conditionalFormatting>
  <conditionalFormatting sqref="AS7:AS8">
    <cfRule type="expression" dxfId="52" priority="196">
      <formula>AS7:AS12&gt;$C$82</formula>
    </cfRule>
  </conditionalFormatting>
  <conditionalFormatting sqref="AS9:AS12 AC22:AC25">
    <cfRule type="expression" dxfId="51" priority="447">
      <formula>AC9:AC51&gt;$C$82</formula>
    </cfRule>
  </conditionalFormatting>
  <conditionalFormatting sqref="AV7:AV8">
    <cfRule type="expression" dxfId="50" priority="198">
      <formula>AV7:AV12&gt;$C$83</formula>
    </cfRule>
  </conditionalFormatting>
  <conditionalFormatting sqref="AV9:AV12 AF22:AF25">
    <cfRule type="expression" dxfId="49" priority="449">
      <formula>AF9:AF51&gt;$C$83</formula>
    </cfRule>
  </conditionalFormatting>
  <conditionalFormatting sqref="AY7:AY8">
    <cfRule type="expression" dxfId="48" priority="200">
      <formula>AY7:AY12&gt;$C$84</formula>
    </cfRule>
  </conditionalFormatting>
  <conditionalFormatting sqref="AY9:AY12 AI22:AI25">
    <cfRule type="expression" dxfId="47" priority="451">
      <formula>AI9:AI51&gt;$C$84</formula>
    </cfRule>
  </conditionalFormatting>
  <conditionalFormatting sqref="BB7:BB8">
    <cfRule type="expression" dxfId="46" priority="202">
      <formula>BB7:BB12&gt;$C$85</formula>
    </cfRule>
  </conditionalFormatting>
  <conditionalFormatting sqref="BB9:BB12 G34:G37">
    <cfRule type="expression" dxfId="45" priority="453">
      <formula>G9:G51&gt;$C$85</formula>
    </cfRule>
  </conditionalFormatting>
  <conditionalFormatting sqref="BF7:BF8">
    <cfRule type="expression" dxfId="44" priority="204">
      <formula>BF7:BF12&gt;$C$86</formula>
    </cfRule>
  </conditionalFormatting>
  <conditionalFormatting sqref="BF9:BF12 K34:K37">
    <cfRule type="expression" dxfId="43" priority="455">
      <formula>K9:K51&gt;$C$86</formula>
    </cfRule>
  </conditionalFormatting>
  <conditionalFormatting sqref="BK7:BK8">
    <cfRule type="expression" dxfId="42" priority="206">
      <formula>BK7:BK12&gt;$C$87</formula>
    </cfRule>
  </conditionalFormatting>
  <conditionalFormatting sqref="BK9:BK12 P34:P37">
    <cfRule type="expression" dxfId="41" priority="457">
      <formula>P9:P51&gt;$C$87</formula>
    </cfRule>
  </conditionalFormatting>
  <conditionalFormatting sqref="BN7:BN8">
    <cfRule type="expression" dxfId="40" priority="208">
      <formula>BN7:BN12&gt;$C$88</formula>
    </cfRule>
  </conditionalFormatting>
  <conditionalFormatting sqref="BN9:BN12 S34:S37">
    <cfRule type="expression" dxfId="39" priority="459">
      <formula>S9:S51&gt;$C$88</formula>
    </cfRule>
  </conditionalFormatting>
  <conditionalFormatting sqref="BQ7:BQ8">
    <cfRule type="expression" dxfId="38" priority="210">
      <formula>BQ7:BQ12&gt;$C$89</formula>
    </cfRule>
  </conditionalFormatting>
  <conditionalFormatting sqref="BQ9:BQ12 V34:V37">
    <cfRule type="expression" dxfId="37" priority="461">
      <formula>V9:V51&gt;$C$89</formula>
    </cfRule>
  </conditionalFormatting>
  <conditionalFormatting sqref="BT7:BT8">
    <cfRule type="expression" dxfId="36" priority="212">
      <formula>BT7:BT12&gt;$C$90</formula>
    </cfRule>
  </conditionalFormatting>
  <conditionalFormatting sqref="BT9:BT12 Y34:Y37">
    <cfRule type="expression" dxfId="35" priority="463">
      <formula>Y9:Y51&gt;$C$90</formula>
    </cfRule>
  </conditionalFormatting>
  <conditionalFormatting sqref="BW7:BW8">
    <cfRule type="expression" dxfId="34" priority="214">
      <formula>BW7:BW12&gt;$C$91</formula>
    </cfRule>
  </conditionalFormatting>
  <conditionalFormatting sqref="BW9:BW12 AB34:AB37">
    <cfRule type="expression" dxfId="33" priority="465">
      <formula>AB9:AB51&gt;$C$91</formula>
    </cfRule>
  </conditionalFormatting>
  <conditionalFormatting sqref="BZ7:BZ8">
    <cfRule type="expression" dxfId="32" priority="216">
      <formula>BZ7:BZ12&gt;$C$92</formula>
    </cfRule>
  </conditionalFormatting>
  <conditionalFormatting sqref="BZ9:BZ12 AE34:AE37">
    <cfRule type="expression" dxfId="31" priority="467">
      <formula>AE9:AE51&gt;$C$92</formula>
    </cfRule>
  </conditionalFormatting>
  <conditionalFormatting sqref="CC55 CE55">
    <cfRule type="expression" dxfId="30" priority="88">
      <formula>AND(CC55&lt;&gt;"", INDIRECT("'"&amp;$A$1&amp;"'!"&amp;CELL("address",CC55))&lt;&gt;"", CC55 &gt;= INDIRECT("'"&amp;$A$1&amp;"'!"&amp;CELL("address",CC55))*1.2)</formula>
    </cfRule>
    <cfRule type="expression" dxfId="29" priority="89">
      <formula>AND(CC55&lt;&gt;"", INDIRECT("'"&amp;$A$1&amp;"'!"&amp;CELL("address",CC55))&lt;&gt;"", CC55 &lt;= INDIRECT("'"&amp;$A$1&amp;"'!"&amp;CELL("address",CC55))*0.8)</formula>
    </cfRule>
  </conditionalFormatting>
  <conditionalFormatting sqref="CD7:CD8">
    <cfRule type="expression" dxfId="28" priority="218">
      <formula>CD7:CD12&gt;$C$72</formula>
    </cfRule>
  </conditionalFormatting>
  <conditionalFormatting sqref="CD7:CD12 CF7:CF12 CH7:CH12 CK7:CK12 CN7:CN12 CP7:CP12 CR7:CS12">
    <cfRule type="expression" dxfId="27" priority="129">
      <formula>AND(CD7&lt;&gt;"", INDIRECT("'"&amp;$A$1&amp;"'!"&amp;CELL("address",CD7))&lt;&gt;"", CD7 &gt;= INDIRECT("'"&amp;$A$1&amp;"'!"&amp;CELL("address",CD7))*1.2)</formula>
    </cfRule>
    <cfRule type="expression" dxfId="26" priority="130">
      <formula>AND(CD7&lt;&gt;"", INDIRECT("'"&amp;$A$1&amp;"'!"&amp;CELL("address",CD7))&lt;&gt;"", CD7 &lt;= INDIRECT("'"&amp;$A$1&amp;"'!"&amp;CELL("address",CD7))*0.8)</formula>
    </cfRule>
  </conditionalFormatting>
  <conditionalFormatting sqref="CD9:CD12">
    <cfRule type="expression" dxfId="25" priority="469">
      <formula>CD9:CD51&gt;$C$72</formula>
    </cfRule>
  </conditionalFormatting>
  <conditionalFormatting sqref="CE55">
    <cfRule type="expression" dxfId="24" priority="86">
      <formula>CE55:CE60&gt;$C$67</formula>
    </cfRule>
  </conditionalFormatting>
  <conditionalFormatting sqref="CF7:CF8">
    <cfRule type="expression" dxfId="23" priority="220">
      <formula>CF7:CF12&gt;$C$73</formula>
    </cfRule>
  </conditionalFormatting>
  <conditionalFormatting sqref="CF9:CF12">
    <cfRule type="expression" dxfId="22" priority="470">
      <formula>CF9:CF51&gt;$C$73</formula>
    </cfRule>
  </conditionalFormatting>
  <conditionalFormatting sqref="CH7:CH8">
    <cfRule type="expression" dxfId="21" priority="222">
      <formula>CH7:CH12&gt;$C$74</formula>
    </cfRule>
  </conditionalFormatting>
  <conditionalFormatting sqref="CH9:CH12">
    <cfRule type="expression" dxfId="20" priority="471">
      <formula>CH9:CH51&gt;$C$74</formula>
    </cfRule>
  </conditionalFormatting>
  <conditionalFormatting sqref="CK7:CK8">
    <cfRule type="expression" dxfId="19" priority="224">
      <formula>CK7:CK12&gt;$C$75</formula>
    </cfRule>
  </conditionalFormatting>
  <conditionalFormatting sqref="CK9:CK12">
    <cfRule type="expression" dxfId="18" priority="472">
      <formula>CK9:CK51&gt;$C$75</formula>
    </cfRule>
  </conditionalFormatting>
  <conditionalFormatting sqref="CN7:CN8 G44:G45 CP55:CP60">
    <cfRule type="expression" dxfId="17" priority="397">
      <formula>G7:G12&gt;$C$67</formula>
    </cfRule>
    <cfRule type="expression" dxfId="16" priority="398">
      <formula>AND(G7&lt;&gt;"", INDIRECT("'"&amp;$A$1&amp;"'!"&amp;CELL("address",G7))&lt;&gt;"", G7 &gt;= INDIRECT("'"&amp;$A$1&amp;"'!"&amp;CELL("address",G7))*1.2)</formula>
    </cfRule>
    <cfRule type="expression" dxfId="15" priority="399">
      <formula>AND(G7&lt;&gt;"", INDIRECT("'"&amp;$A$1&amp;"'!"&amp;CELL("address",G7))&lt;&gt;"", G7 &lt;= INDIRECT("'"&amp;$A$1&amp;"'!"&amp;CELL("address",G7))*0.8)</formula>
    </cfRule>
  </conditionalFormatting>
  <conditionalFormatting sqref="CN9:CN12">
    <cfRule type="expression" dxfId="14" priority="482">
      <formula>CN9:CN51&gt;$C$67</formula>
    </cfRule>
    <cfRule type="expression" dxfId="13" priority="483">
      <formula>AND(CN9&lt;&gt;"", INDIRECT("'"&amp;$A$1&amp;"'!"&amp;CELL("address",CN9))&lt;&gt;"", CN9 &gt;= INDIRECT("'"&amp;$A$1&amp;"'!"&amp;CELL("address",CN9))*1.2)</formula>
    </cfRule>
    <cfRule type="expression" dxfId="12" priority="484">
      <formula>AND(CN9&lt;&gt;"", INDIRECT("'"&amp;$A$1&amp;"'!"&amp;CELL("address",CN9))&lt;&gt;"", CN9 &lt;= INDIRECT("'"&amp;$A$1&amp;"'!"&amp;CELL("address",CN9))*0.8)</formula>
    </cfRule>
  </conditionalFormatting>
  <conditionalFormatting sqref="CP7:CP8 I44:I45">
    <cfRule type="expression" dxfId="11" priority="485">
      <formula>I7:I12&gt;$C$66</formula>
    </cfRule>
    <cfRule type="expression" dxfId="10" priority="486">
      <formula>AND(I7&lt;&gt;"", INDIRECT("'"&amp;$A$1&amp;"'!"&amp;CELL("address",I7))&lt;&gt;"", I7 &gt;= INDIRECT("'"&amp;$A$1&amp;"'!"&amp;CELL("address",I7))*1.2)</formula>
    </cfRule>
    <cfRule type="expression" dxfId="9" priority="487">
      <formula>AND(I7&lt;&gt;"", INDIRECT("'"&amp;$A$1&amp;"'!"&amp;CELL("address",I7))&lt;&gt;"", I7 &lt;= INDIRECT("'"&amp;$A$1&amp;"'!"&amp;CELL("address",I7))*0.8)</formula>
    </cfRule>
  </conditionalFormatting>
  <conditionalFormatting sqref="CP9:CP12">
    <cfRule type="expression" dxfId="8" priority="491">
      <formula>CP9:CP51&gt;$C$66</formula>
    </cfRule>
    <cfRule type="expression" dxfId="7" priority="492">
      <formula>AND(CP9&lt;&gt;"", INDIRECT("'"&amp;$A$1&amp;"'!"&amp;CELL("address",CP9))&lt;&gt;"", CP9 &gt;= INDIRECT("'"&amp;$A$1&amp;"'!"&amp;CELL("address",CP9))*1.2)</formula>
    </cfRule>
    <cfRule type="expression" dxfId="6" priority="493">
      <formula>AND(CP9&lt;&gt;"", INDIRECT("'"&amp;$A$1&amp;"'!"&amp;CELL("address",CP9))&lt;&gt;"", CP9 &lt;= INDIRECT("'"&amp;$A$1&amp;"'!"&amp;CELL("address",CP9))*0.8)</formula>
    </cfRule>
  </conditionalFormatting>
  <conditionalFormatting sqref="CR7:CS8 K44:K45 CG55">
    <cfRule type="expression" dxfId="5" priority="421">
      <formula>K7:K12&gt;$C$85</formula>
    </cfRule>
    <cfRule type="expression" dxfId="4" priority="422">
      <formula>AND(K7&lt;&gt;"", INDIRECT("'"&amp;$A$1&amp;"'!"&amp;CELL("address",K7))&lt;&gt;"", K7 &gt;= INDIRECT("'"&amp;$A$1&amp;"'!"&amp;CELL("address",K7))*1.2)</formula>
    </cfRule>
    <cfRule type="expression" dxfId="3" priority="423">
      <formula>AND(K7&lt;&gt;"", INDIRECT("'"&amp;$A$1&amp;"'!"&amp;CELL("address",K7))&lt;&gt;"", K7 &lt;= INDIRECT("'"&amp;$A$1&amp;"'!"&amp;CELL("address",K7))*0.8)</formula>
    </cfRule>
  </conditionalFormatting>
  <conditionalFormatting sqref="CR9:CS12">
    <cfRule type="expression" dxfId="2" priority="494">
      <formula>CR9:CR51&gt;$C$85</formula>
    </cfRule>
    <cfRule type="expression" dxfId="1" priority="495">
      <formula>AND(CR9&lt;&gt;"", INDIRECT("'"&amp;$A$1&amp;"'!"&amp;CELL("address",CR9))&lt;&gt;"", CR9 &gt;= INDIRECT("'"&amp;$A$1&amp;"'!"&amp;CELL("address",CR9))*1.2)</formula>
    </cfRule>
    <cfRule type="expression" dxfId="0" priority="496">
      <formula>AND(CR9&lt;&gt;"", INDIRECT("'"&amp;$A$1&amp;"'!"&amp;CELL("address",CR9))&lt;&gt;"", CR9 &lt;= INDIRECT("'"&amp;$A$1&amp;"'!"&amp;CELL("address",CR9))*0.8)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FC9E-8945-430B-A288-19F35E705887}">
  <dimension ref="A1:AE125"/>
  <sheetViews>
    <sheetView tabSelected="1" zoomScale="85" zoomScaleNormal="85" workbookViewId="0">
      <selection activeCell="X6" sqref="X6"/>
    </sheetView>
  </sheetViews>
  <sheetFormatPr defaultRowHeight="14.25"/>
  <cols>
    <col min="1" max="1" width="9" style="32" customWidth="1"/>
    <col min="2" max="2" width="14.28515625" style="32" customWidth="1"/>
    <col min="3" max="3" width="15.42578125" style="33" customWidth="1"/>
    <col min="4" max="4" width="15.28515625" style="33" customWidth="1"/>
    <col min="5" max="5" width="17.140625" style="32" customWidth="1"/>
    <col min="6" max="6" width="15.42578125" style="34" customWidth="1"/>
    <col min="7" max="7" width="12.28515625" style="34" customWidth="1"/>
    <col min="8" max="8" width="10.28515625" style="32" customWidth="1"/>
    <col min="9" max="9" width="14.42578125" style="34" customWidth="1"/>
    <col min="10" max="10" width="10.7109375" style="34" customWidth="1"/>
    <col min="11" max="11" width="10.7109375" style="32" customWidth="1"/>
    <col min="12" max="12" width="14.7109375" style="34" customWidth="1"/>
    <col min="13" max="13" width="12.42578125" style="34" customWidth="1"/>
    <col min="14" max="14" width="12.42578125" style="35" customWidth="1"/>
    <col min="15" max="15" width="14.7109375" style="35" customWidth="1"/>
    <col min="16" max="16" width="9" style="35" customWidth="1"/>
    <col min="17" max="17" width="11.140625" style="35" customWidth="1"/>
    <col min="18" max="18" width="14.5703125" style="35" customWidth="1"/>
    <col min="19" max="19" width="10.42578125" style="35" customWidth="1"/>
    <col min="20" max="20" width="13.28515625" style="35" customWidth="1"/>
    <col min="21" max="21" width="15.28515625" style="35" customWidth="1"/>
    <col min="22" max="22" width="12.28515625" style="35" customWidth="1"/>
    <col min="23" max="23" width="11.28515625" style="35" customWidth="1"/>
    <col min="24" max="24" width="16.85546875" style="35" customWidth="1"/>
    <col min="25" max="25" width="13.7109375" style="35" customWidth="1"/>
    <col min="26" max="26" width="19.140625" style="35" customWidth="1"/>
    <col min="27" max="27" width="12.140625" style="35" customWidth="1"/>
    <col min="28" max="28" width="12.140625" style="36" customWidth="1"/>
    <col min="29" max="29" width="9.140625" style="36"/>
    <col min="30" max="30" width="28.140625" style="36" bestFit="1" customWidth="1"/>
    <col min="31" max="255" width="9.140625" style="36"/>
    <col min="256" max="256" width="6.140625" style="36" customWidth="1"/>
    <col min="257" max="257" width="9.42578125" style="36" customWidth="1"/>
    <col min="258" max="258" width="12.140625" style="36" customWidth="1"/>
    <col min="259" max="259" width="8.85546875" style="36" bestFit="1" customWidth="1"/>
    <col min="260" max="260" width="9.42578125" style="36" customWidth="1"/>
    <col min="261" max="261" width="11.5703125" style="36" customWidth="1"/>
    <col min="262" max="262" width="5.42578125" style="36" customWidth="1"/>
    <col min="263" max="263" width="9.42578125" style="36" customWidth="1"/>
    <col min="264" max="264" width="11.5703125" style="36" customWidth="1"/>
    <col min="265" max="265" width="5.42578125" style="36" customWidth="1"/>
    <col min="266" max="266" width="9.42578125" style="36" customWidth="1"/>
    <col min="267" max="267" width="11.5703125" style="36" customWidth="1"/>
    <col min="268" max="268" width="5.42578125" style="36" customWidth="1"/>
    <col min="269" max="269" width="9.42578125" style="36" customWidth="1"/>
    <col min="270" max="270" width="11.5703125" style="36" customWidth="1"/>
    <col min="271" max="271" width="5.42578125" style="36" customWidth="1"/>
    <col min="272" max="272" width="9.42578125" style="36" customWidth="1"/>
    <col min="273" max="273" width="11.5703125" style="36" customWidth="1"/>
    <col min="274" max="274" width="5.42578125" style="36" customWidth="1"/>
    <col min="275" max="275" width="9.42578125" style="36" customWidth="1"/>
    <col min="276" max="276" width="11.5703125" style="36" customWidth="1"/>
    <col min="277" max="277" width="5.42578125" style="36" customWidth="1"/>
    <col min="278" max="278" width="9.42578125" style="36" customWidth="1"/>
    <col min="279" max="279" width="11.5703125" style="36" customWidth="1"/>
    <col min="280" max="280" width="8.5703125" style="36" bestFit="1" customWidth="1"/>
    <col min="281" max="281" width="9.42578125" style="36" customWidth="1"/>
    <col min="282" max="282" width="11.5703125" style="36" customWidth="1"/>
    <col min="283" max="283" width="6.42578125" style="36" customWidth="1"/>
    <col min="284" max="511" width="9.140625" style="36"/>
    <col min="512" max="512" width="6.140625" style="36" customWidth="1"/>
    <col min="513" max="513" width="9.42578125" style="36" customWidth="1"/>
    <col min="514" max="514" width="12.140625" style="36" customWidth="1"/>
    <col min="515" max="515" width="8.85546875" style="36" bestFit="1" customWidth="1"/>
    <col min="516" max="516" width="9.42578125" style="36" customWidth="1"/>
    <col min="517" max="517" width="11.5703125" style="36" customWidth="1"/>
    <col min="518" max="518" width="5.42578125" style="36" customWidth="1"/>
    <col min="519" max="519" width="9.42578125" style="36" customWidth="1"/>
    <col min="520" max="520" width="11.5703125" style="36" customWidth="1"/>
    <col min="521" max="521" width="5.42578125" style="36" customWidth="1"/>
    <col min="522" max="522" width="9.42578125" style="36" customWidth="1"/>
    <col min="523" max="523" width="11.5703125" style="36" customWidth="1"/>
    <col min="524" max="524" width="5.42578125" style="36" customWidth="1"/>
    <col min="525" max="525" width="9.42578125" style="36" customWidth="1"/>
    <col min="526" max="526" width="11.5703125" style="36" customWidth="1"/>
    <col min="527" max="527" width="5.42578125" style="36" customWidth="1"/>
    <col min="528" max="528" width="9.42578125" style="36" customWidth="1"/>
    <col min="529" max="529" width="11.5703125" style="36" customWidth="1"/>
    <col min="530" max="530" width="5.42578125" style="36" customWidth="1"/>
    <col min="531" max="531" width="9.42578125" style="36" customWidth="1"/>
    <col min="532" max="532" width="11.5703125" style="36" customWidth="1"/>
    <col min="533" max="533" width="5.42578125" style="36" customWidth="1"/>
    <col min="534" max="534" width="9.42578125" style="36" customWidth="1"/>
    <col min="535" max="535" width="11.5703125" style="36" customWidth="1"/>
    <col min="536" max="536" width="8.5703125" style="36" bestFit="1" customWidth="1"/>
    <col min="537" max="537" width="9.42578125" style="36" customWidth="1"/>
    <col min="538" max="538" width="11.5703125" style="36" customWidth="1"/>
    <col min="539" max="539" width="6.42578125" style="36" customWidth="1"/>
    <col min="540" max="767" width="9.140625" style="36"/>
    <col min="768" max="768" width="6.140625" style="36" customWidth="1"/>
    <col min="769" max="769" width="9.42578125" style="36" customWidth="1"/>
    <col min="770" max="770" width="12.140625" style="36" customWidth="1"/>
    <col min="771" max="771" width="8.85546875" style="36" bestFit="1" customWidth="1"/>
    <col min="772" max="772" width="9.42578125" style="36" customWidth="1"/>
    <col min="773" max="773" width="11.5703125" style="36" customWidth="1"/>
    <col min="774" max="774" width="5.42578125" style="36" customWidth="1"/>
    <col min="775" max="775" width="9.42578125" style="36" customWidth="1"/>
    <col min="776" max="776" width="11.5703125" style="36" customWidth="1"/>
    <col min="777" max="777" width="5.42578125" style="36" customWidth="1"/>
    <col min="778" max="778" width="9.42578125" style="36" customWidth="1"/>
    <col min="779" max="779" width="11.5703125" style="36" customWidth="1"/>
    <col min="780" max="780" width="5.42578125" style="36" customWidth="1"/>
    <col min="781" max="781" width="9.42578125" style="36" customWidth="1"/>
    <col min="782" max="782" width="11.5703125" style="36" customWidth="1"/>
    <col min="783" max="783" width="5.42578125" style="36" customWidth="1"/>
    <col min="784" max="784" width="9.42578125" style="36" customWidth="1"/>
    <col min="785" max="785" width="11.5703125" style="36" customWidth="1"/>
    <col min="786" max="786" width="5.42578125" style="36" customWidth="1"/>
    <col min="787" max="787" width="9.42578125" style="36" customWidth="1"/>
    <col min="788" max="788" width="11.5703125" style="36" customWidth="1"/>
    <col min="789" max="789" width="5.42578125" style="36" customWidth="1"/>
    <col min="790" max="790" width="9.42578125" style="36" customWidth="1"/>
    <col min="791" max="791" width="11.5703125" style="36" customWidth="1"/>
    <col min="792" max="792" width="8.5703125" style="36" bestFit="1" customWidth="1"/>
    <col min="793" max="793" width="9.42578125" style="36" customWidth="1"/>
    <col min="794" max="794" width="11.5703125" style="36" customWidth="1"/>
    <col min="795" max="795" width="6.42578125" style="36" customWidth="1"/>
    <col min="796" max="1023" width="9.140625" style="36"/>
    <col min="1024" max="1024" width="6.140625" style="36" customWidth="1"/>
    <col min="1025" max="1025" width="9.42578125" style="36" customWidth="1"/>
    <col min="1026" max="1026" width="12.140625" style="36" customWidth="1"/>
    <col min="1027" max="1027" width="8.85546875" style="36" bestFit="1" customWidth="1"/>
    <col min="1028" max="1028" width="9.42578125" style="36" customWidth="1"/>
    <col min="1029" max="1029" width="11.5703125" style="36" customWidth="1"/>
    <col min="1030" max="1030" width="5.42578125" style="36" customWidth="1"/>
    <col min="1031" max="1031" width="9.42578125" style="36" customWidth="1"/>
    <col min="1032" max="1032" width="11.5703125" style="36" customWidth="1"/>
    <col min="1033" max="1033" width="5.42578125" style="36" customWidth="1"/>
    <col min="1034" max="1034" width="9.42578125" style="36" customWidth="1"/>
    <col min="1035" max="1035" width="11.5703125" style="36" customWidth="1"/>
    <col min="1036" max="1036" width="5.42578125" style="36" customWidth="1"/>
    <col min="1037" max="1037" width="9.42578125" style="36" customWidth="1"/>
    <col min="1038" max="1038" width="11.5703125" style="36" customWidth="1"/>
    <col min="1039" max="1039" width="5.42578125" style="36" customWidth="1"/>
    <col min="1040" max="1040" width="9.42578125" style="36" customWidth="1"/>
    <col min="1041" max="1041" width="11.5703125" style="36" customWidth="1"/>
    <col min="1042" max="1042" width="5.42578125" style="36" customWidth="1"/>
    <col min="1043" max="1043" width="9.42578125" style="36" customWidth="1"/>
    <col min="1044" max="1044" width="11.5703125" style="36" customWidth="1"/>
    <col min="1045" max="1045" width="5.42578125" style="36" customWidth="1"/>
    <col min="1046" max="1046" width="9.42578125" style="36" customWidth="1"/>
    <col min="1047" max="1047" width="11.5703125" style="36" customWidth="1"/>
    <col min="1048" max="1048" width="8.5703125" style="36" bestFit="1" customWidth="1"/>
    <col min="1049" max="1049" width="9.42578125" style="36" customWidth="1"/>
    <col min="1050" max="1050" width="11.5703125" style="36" customWidth="1"/>
    <col min="1051" max="1051" width="6.42578125" style="36" customWidth="1"/>
    <col min="1052" max="1279" width="9.140625" style="36"/>
    <col min="1280" max="1280" width="6.140625" style="36" customWidth="1"/>
    <col min="1281" max="1281" width="9.42578125" style="36" customWidth="1"/>
    <col min="1282" max="1282" width="12.140625" style="36" customWidth="1"/>
    <col min="1283" max="1283" width="8.85546875" style="36" bestFit="1" customWidth="1"/>
    <col min="1284" max="1284" width="9.42578125" style="36" customWidth="1"/>
    <col min="1285" max="1285" width="11.5703125" style="36" customWidth="1"/>
    <col min="1286" max="1286" width="5.42578125" style="36" customWidth="1"/>
    <col min="1287" max="1287" width="9.42578125" style="36" customWidth="1"/>
    <col min="1288" max="1288" width="11.5703125" style="36" customWidth="1"/>
    <col min="1289" max="1289" width="5.42578125" style="36" customWidth="1"/>
    <col min="1290" max="1290" width="9.42578125" style="36" customWidth="1"/>
    <col min="1291" max="1291" width="11.5703125" style="36" customWidth="1"/>
    <col min="1292" max="1292" width="5.42578125" style="36" customWidth="1"/>
    <col min="1293" max="1293" width="9.42578125" style="36" customWidth="1"/>
    <col min="1294" max="1294" width="11.5703125" style="36" customWidth="1"/>
    <col min="1295" max="1295" width="5.42578125" style="36" customWidth="1"/>
    <col min="1296" max="1296" width="9.42578125" style="36" customWidth="1"/>
    <col min="1297" max="1297" width="11.5703125" style="36" customWidth="1"/>
    <col min="1298" max="1298" width="5.42578125" style="36" customWidth="1"/>
    <col min="1299" max="1299" width="9.42578125" style="36" customWidth="1"/>
    <col min="1300" max="1300" width="11.5703125" style="36" customWidth="1"/>
    <col min="1301" max="1301" width="5.42578125" style="36" customWidth="1"/>
    <col min="1302" max="1302" width="9.42578125" style="36" customWidth="1"/>
    <col min="1303" max="1303" width="11.5703125" style="36" customWidth="1"/>
    <col min="1304" max="1304" width="8.5703125" style="36" bestFit="1" customWidth="1"/>
    <col min="1305" max="1305" width="9.42578125" style="36" customWidth="1"/>
    <col min="1306" max="1306" width="11.5703125" style="36" customWidth="1"/>
    <col min="1307" max="1307" width="6.42578125" style="36" customWidth="1"/>
    <col min="1308" max="1535" width="9.140625" style="36"/>
    <col min="1536" max="1536" width="6.140625" style="36" customWidth="1"/>
    <col min="1537" max="1537" width="9.42578125" style="36" customWidth="1"/>
    <col min="1538" max="1538" width="12.140625" style="36" customWidth="1"/>
    <col min="1539" max="1539" width="8.85546875" style="36" bestFit="1" customWidth="1"/>
    <col min="1540" max="1540" width="9.42578125" style="36" customWidth="1"/>
    <col min="1541" max="1541" width="11.5703125" style="36" customWidth="1"/>
    <col min="1542" max="1542" width="5.42578125" style="36" customWidth="1"/>
    <col min="1543" max="1543" width="9.42578125" style="36" customWidth="1"/>
    <col min="1544" max="1544" width="11.5703125" style="36" customWidth="1"/>
    <col min="1545" max="1545" width="5.42578125" style="36" customWidth="1"/>
    <col min="1546" max="1546" width="9.42578125" style="36" customWidth="1"/>
    <col min="1547" max="1547" width="11.5703125" style="36" customWidth="1"/>
    <col min="1548" max="1548" width="5.42578125" style="36" customWidth="1"/>
    <col min="1549" max="1549" width="9.42578125" style="36" customWidth="1"/>
    <col min="1550" max="1550" width="11.5703125" style="36" customWidth="1"/>
    <col min="1551" max="1551" width="5.42578125" style="36" customWidth="1"/>
    <col min="1552" max="1552" width="9.42578125" style="36" customWidth="1"/>
    <col min="1553" max="1553" width="11.5703125" style="36" customWidth="1"/>
    <col min="1554" max="1554" width="5.42578125" style="36" customWidth="1"/>
    <col min="1555" max="1555" width="9.42578125" style="36" customWidth="1"/>
    <col min="1556" max="1556" width="11.5703125" style="36" customWidth="1"/>
    <col min="1557" max="1557" width="5.42578125" style="36" customWidth="1"/>
    <col min="1558" max="1558" width="9.42578125" style="36" customWidth="1"/>
    <col min="1559" max="1559" width="11.5703125" style="36" customWidth="1"/>
    <col min="1560" max="1560" width="8.5703125" style="36" bestFit="1" customWidth="1"/>
    <col min="1561" max="1561" width="9.42578125" style="36" customWidth="1"/>
    <col min="1562" max="1562" width="11.5703125" style="36" customWidth="1"/>
    <col min="1563" max="1563" width="6.42578125" style="36" customWidth="1"/>
    <col min="1564" max="1791" width="9.140625" style="36"/>
    <col min="1792" max="1792" width="6.140625" style="36" customWidth="1"/>
    <col min="1793" max="1793" width="9.42578125" style="36" customWidth="1"/>
    <col min="1794" max="1794" width="12.140625" style="36" customWidth="1"/>
    <col min="1795" max="1795" width="8.85546875" style="36" bestFit="1" customWidth="1"/>
    <col min="1796" max="1796" width="9.42578125" style="36" customWidth="1"/>
    <col min="1797" max="1797" width="11.5703125" style="36" customWidth="1"/>
    <col min="1798" max="1798" width="5.42578125" style="36" customWidth="1"/>
    <col min="1799" max="1799" width="9.42578125" style="36" customWidth="1"/>
    <col min="1800" max="1800" width="11.5703125" style="36" customWidth="1"/>
    <col min="1801" max="1801" width="5.42578125" style="36" customWidth="1"/>
    <col min="1802" max="1802" width="9.42578125" style="36" customWidth="1"/>
    <col min="1803" max="1803" width="11.5703125" style="36" customWidth="1"/>
    <col min="1804" max="1804" width="5.42578125" style="36" customWidth="1"/>
    <col min="1805" max="1805" width="9.42578125" style="36" customWidth="1"/>
    <col min="1806" max="1806" width="11.5703125" style="36" customWidth="1"/>
    <col min="1807" max="1807" width="5.42578125" style="36" customWidth="1"/>
    <col min="1808" max="1808" width="9.42578125" style="36" customWidth="1"/>
    <col min="1809" max="1809" width="11.5703125" style="36" customWidth="1"/>
    <col min="1810" max="1810" width="5.42578125" style="36" customWidth="1"/>
    <col min="1811" max="1811" width="9.42578125" style="36" customWidth="1"/>
    <col min="1812" max="1812" width="11.5703125" style="36" customWidth="1"/>
    <col min="1813" max="1813" width="5.42578125" style="36" customWidth="1"/>
    <col min="1814" max="1814" width="9.42578125" style="36" customWidth="1"/>
    <col min="1815" max="1815" width="11.5703125" style="36" customWidth="1"/>
    <col min="1816" max="1816" width="8.5703125" style="36" bestFit="1" customWidth="1"/>
    <col min="1817" max="1817" width="9.42578125" style="36" customWidth="1"/>
    <col min="1818" max="1818" width="11.5703125" style="36" customWidth="1"/>
    <col min="1819" max="1819" width="6.42578125" style="36" customWidth="1"/>
    <col min="1820" max="2047" width="9.140625" style="36"/>
    <col min="2048" max="2048" width="6.140625" style="36" customWidth="1"/>
    <col min="2049" max="2049" width="9.42578125" style="36" customWidth="1"/>
    <col min="2050" max="2050" width="12.140625" style="36" customWidth="1"/>
    <col min="2051" max="2051" width="8.85546875" style="36" bestFit="1" customWidth="1"/>
    <col min="2052" max="2052" width="9.42578125" style="36" customWidth="1"/>
    <col min="2053" max="2053" width="11.5703125" style="36" customWidth="1"/>
    <col min="2054" max="2054" width="5.42578125" style="36" customWidth="1"/>
    <col min="2055" max="2055" width="9.42578125" style="36" customWidth="1"/>
    <col min="2056" max="2056" width="11.5703125" style="36" customWidth="1"/>
    <col min="2057" max="2057" width="5.42578125" style="36" customWidth="1"/>
    <col min="2058" max="2058" width="9.42578125" style="36" customWidth="1"/>
    <col min="2059" max="2059" width="11.5703125" style="36" customWidth="1"/>
    <col min="2060" max="2060" width="5.42578125" style="36" customWidth="1"/>
    <col min="2061" max="2061" width="9.42578125" style="36" customWidth="1"/>
    <col min="2062" max="2062" width="11.5703125" style="36" customWidth="1"/>
    <col min="2063" max="2063" width="5.42578125" style="36" customWidth="1"/>
    <col min="2064" max="2064" width="9.42578125" style="36" customWidth="1"/>
    <col min="2065" max="2065" width="11.5703125" style="36" customWidth="1"/>
    <col min="2066" max="2066" width="5.42578125" style="36" customWidth="1"/>
    <col min="2067" max="2067" width="9.42578125" style="36" customWidth="1"/>
    <col min="2068" max="2068" width="11.5703125" style="36" customWidth="1"/>
    <col min="2069" max="2069" width="5.42578125" style="36" customWidth="1"/>
    <col min="2070" max="2070" width="9.42578125" style="36" customWidth="1"/>
    <col min="2071" max="2071" width="11.5703125" style="36" customWidth="1"/>
    <col min="2072" max="2072" width="8.5703125" style="36" bestFit="1" customWidth="1"/>
    <col min="2073" max="2073" width="9.42578125" style="36" customWidth="1"/>
    <col min="2074" max="2074" width="11.5703125" style="36" customWidth="1"/>
    <col min="2075" max="2075" width="6.42578125" style="36" customWidth="1"/>
    <col min="2076" max="2303" width="9.140625" style="36"/>
    <col min="2304" max="2304" width="6.140625" style="36" customWidth="1"/>
    <col min="2305" max="2305" width="9.42578125" style="36" customWidth="1"/>
    <col min="2306" max="2306" width="12.140625" style="36" customWidth="1"/>
    <col min="2307" max="2307" width="8.85546875" style="36" bestFit="1" customWidth="1"/>
    <col min="2308" max="2308" width="9.42578125" style="36" customWidth="1"/>
    <col min="2309" max="2309" width="11.5703125" style="36" customWidth="1"/>
    <col min="2310" max="2310" width="5.42578125" style="36" customWidth="1"/>
    <col min="2311" max="2311" width="9.42578125" style="36" customWidth="1"/>
    <col min="2312" max="2312" width="11.5703125" style="36" customWidth="1"/>
    <col min="2313" max="2313" width="5.42578125" style="36" customWidth="1"/>
    <col min="2314" max="2314" width="9.42578125" style="36" customWidth="1"/>
    <col min="2315" max="2315" width="11.5703125" style="36" customWidth="1"/>
    <col min="2316" max="2316" width="5.42578125" style="36" customWidth="1"/>
    <col min="2317" max="2317" width="9.42578125" style="36" customWidth="1"/>
    <col min="2318" max="2318" width="11.5703125" style="36" customWidth="1"/>
    <col min="2319" max="2319" width="5.42578125" style="36" customWidth="1"/>
    <col min="2320" max="2320" width="9.42578125" style="36" customWidth="1"/>
    <col min="2321" max="2321" width="11.5703125" style="36" customWidth="1"/>
    <col min="2322" max="2322" width="5.42578125" style="36" customWidth="1"/>
    <col min="2323" max="2323" width="9.42578125" style="36" customWidth="1"/>
    <col min="2324" max="2324" width="11.5703125" style="36" customWidth="1"/>
    <col min="2325" max="2325" width="5.42578125" style="36" customWidth="1"/>
    <col min="2326" max="2326" width="9.42578125" style="36" customWidth="1"/>
    <col min="2327" max="2327" width="11.5703125" style="36" customWidth="1"/>
    <col min="2328" max="2328" width="8.5703125" style="36" bestFit="1" customWidth="1"/>
    <col min="2329" max="2329" width="9.42578125" style="36" customWidth="1"/>
    <col min="2330" max="2330" width="11.5703125" style="36" customWidth="1"/>
    <col min="2331" max="2331" width="6.42578125" style="36" customWidth="1"/>
    <col min="2332" max="2559" width="9.140625" style="36"/>
    <col min="2560" max="2560" width="6.140625" style="36" customWidth="1"/>
    <col min="2561" max="2561" width="9.42578125" style="36" customWidth="1"/>
    <col min="2562" max="2562" width="12.140625" style="36" customWidth="1"/>
    <col min="2563" max="2563" width="8.85546875" style="36" bestFit="1" customWidth="1"/>
    <col min="2564" max="2564" width="9.42578125" style="36" customWidth="1"/>
    <col min="2565" max="2565" width="11.5703125" style="36" customWidth="1"/>
    <col min="2566" max="2566" width="5.42578125" style="36" customWidth="1"/>
    <col min="2567" max="2567" width="9.42578125" style="36" customWidth="1"/>
    <col min="2568" max="2568" width="11.5703125" style="36" customWidth="1"/>
    <col min="2569" max="2569" width="5.42578125" style="36" customWidth="1"/>
    <col min="2570" max="2570" width="9.42578125" style="36" customWidth="1"/>
    <col min="2571" max="2571" width="11.5703125" style="36" customWidth="1"/>
    <col min="2572" max="2572" width="5.42578125" style="36" customWidth="1"/>
    <col min="2573" max="2573" width="9.42578125" style="36" customWidth="1"/>
    <col min="2574" max="2574" width="11.5703125" style="36" customWidth="1"/>
    <col min="2575" max="2575" width="5.42578125" style="36" customWidth="1"/>
    <col min="2576" max="2576" width="9.42578125" style="36" customWidth="1"/>
    <col min="2577" max="2577" width="11.5703125" style="36" customWidth="1"/>
    <col min="2578" max="2578" width="5.42578125" style="36" customWidth="1"/>
    <col min="2579" max="2579" width="9.42578125" style="36" customWidth="1"/>
    <col min="2580" max="2580" width="11.5703125" style="36" customWidth="1"/>
    <col min="2581" max="2581" width="5.42578125" style="36" customWidth="1"/>
    <col min="2582" max="2582" width="9.42578125" style="36" customWidth="1"/>
    <col min="2583" max="2583" width="11.5703125" style="36" customWidth="1"/>
    <col min="2584" max="2584" width="8.5703125" style="36" bestFit="1" customWidth="1"/>
    <col min="2585" max="2585" width="9.42578125" style="36" customWidth="1"/>
    <col min="2586" max="2586" width="11.5703125" style="36" customWidth="1"/>
    <col min="2587" max="2587" width="6.42578125" style="36" customWidth="1"/>
    <col min="2588" max="2815" width="9.140625" style="36"/>
    <col min="2816" max="2816" width="6.140625" style="36" customWidth="1"/>
    <col min="2817" max="2817" width="9.42578125" style="36" customWidth="1"/>
    <col min="2818" max="2818" width="12.140625" style="36" customWidth="1"/>
    <col min="2819" max="2819" width="8.85546875" style="36" bestFit="1" customWidth="1"/>
    <col min="2820" max="2820" width="9.42578125" style="36" customWidth="1"/>
    <col min="2821" max="2821" width="11.5703125" style="36" customWidth="1"/>
    <col min="2822" max="2822" width="5.42578125" style="36" customWidth="1"/>
    <col min="2823" max="2823" width="9.42578125" style="36" customWidth="1"/>
    <col min="2824" max="2824" width="11.5703125" style="36" customWidth="1"/>
    <col min="2825" max="2825" width="5.42578125" style="36" customWidth="1"/>
    <col min="2826" max="2826" width="9.42578125" style="36" customWidth="1"/>
    <col min="2827" max="2827" width="11.5703125" style="36" customWidth="1"/>
    <col min="2828" max="2828" width="5.42578125" style="36" customWidth="1"/>
    <col min="2829" max="2829" width="9.42578125" style="36" customWidth="1"/>
    <col min="2830" max="2830" width="11.5703125" style="36" customWidth="1"/>
    <col min="2831" max="2831" width="5.42578125" style="36" customWidth="1"/>
    <col min="2832" max="2832" width="9.42578125" style="36" customWidth="1"/>
    <col min="2833" max="2833" width="11.5703125" style="36" customWidth="1"/>
    <col min="2834" max="2834" width="5.42578125" style="36" customWidth="1"/>
    <col min="2835" max="2835" width="9.42578125" style="36" customWidth="1"/>
    <col min="2836" max="2836" width="11.5703125" style="36" customWidth="1"/>
    <col min="2837" max="2837" width="5.42578125" style="36" customWidth="1"/>
    <col min="2838" max="2838" width="9.42578125" style="36" customWidth="1"/>
    <col min="2839" max="2839" width="11.5703125" style="36" customWidth="1"/>
    <col min="2840" max="2840" width="8.5703125" style="36" bestFit="1" customWidth="1"/>
    <col min="2841" max="2841" width="9.42578125" style="36" customWidth="1"/>
    <col min="2842" max="2842" width="11.5703125" style="36" customWidth="1"/>
    <col min="2843" max="2843" width="6.42578125" style="36" customWidth="1"/>
    <col min="2844" max="3071" width="9.140625" style="36"/>
    <col min="3072" max="3072" width="6.140625" style="36" customWidth="1"/>
    <col min="3073" max="3073" width="9.42578125" style="36" customWidth="1"/>
    <col min="3074" max="3074" width="12.140625" style="36" customWidth="1"/>
    <col min="3075" max="3075" width="8.85546875" style="36" bestFit="1" customWidth="1"/>
    <col min="3076" max="3076" width="9.42578125" style="36" customWidth="1"/>
    <col min="3077" max="3077" width="11.5703125" style="36" customWidth="1"/>
    <col min="3078" max="3078" width="5.42578125" style="36" customWidth="1"/>
    <col min="3079" max="3079" width="9.42578125" style="36" customWidth="1"/>
    <col min="3080" max="3080" width="11.5703125" style="36" customWidth="1"/>
    <col min="3081" max="3081" width="5.42578125" style="36" customWidth="1"/>
    <col min="3082" max="3082" width="9.42578125" style="36" customWidth="1"/>
    <col min="3083" max="3083" width="11.5703125" style="36" customWidth="1"/>
    <col min="3084" max="3084" width="5.42578125" style="36" customWidth="1"/>
    <col min="3085" max="3085" width="9.42578125" style="36" customWidth="1"/>
    <col min="3086" max="3086" width="11.5703125" style="36" customWidth="1"/>
    <col min="3087" max="3087" width="5.42578125" style="36" customWidth="1"/>
    <col min="3088" max="3088" width="9.42578125" style="36" customWidth="1"/>
    <col min="3089" max="3089" width="11.5703125" style="36" customWidth="1"/>
    <col min="3090" max="3090" width="5.42578125" style="36" customWidth="1"/>
    <col min="3091" max="3091" width="9.42578125" style="36" customWidth="1"/>
    <col min="3092" max="3092" width="11.5703125" style="36" customWidth="1"/>
    <col min="3093" max="3093" width="5.42578125" style="36" customWidth="1"/>
    <col min="3094" max="3094" width="9.42578125" style="36" customWidth="1"/>
    <col min="3095" max="3095" width="11.5703125" style="36" customWidth="1"/>
    <col min="3096" max="3096" width="8.5703125" style="36" bestFit="1" customWidth="1"/>
    <col min="3097" max="3097" width="9.42578125" style="36" customWidth="1"/>
    <col min="3098" max="3098" width="11.5703125" style="36" customWidth="1"/>
    <col min="3099" max="3099" width="6.42578125" style="36" customWidth="1"/>
    <col min="3100" max="3327" width="9.140625" style="36"/>
    <col min="3328" max="3328" width="6.140625" style="36" customWidth="1"/>
    <col min="3329" max="3329" width="9.42578125" style="36" customWidth="1"/>
    <col min="3330" max="3330" width="12.140625" style="36" customWidth="1"/>
    <col min="3331" max="3331" width="8.85546875" style="36" bestFit="1" customWidth="1"/>
    <col min="3332" max="3332" width="9.42578125" style="36" customWidth="1"/>
    <col min="3333" max="3333" width="11.5703125" style="36" customWidth="1"/>
    <col min="3334" max="3334" width="5.42578125" style="36" customWidth="1"/>
    <col min="3335" max="3335" width="9.42578125" style="36" customWidth="1"/>
    <col min="3336" max="3336" width="11.5703125" style="36" customWidth="1"/>
    <col min="3337" max="3337" width="5.42578125" style="36" customWidth="1"/>
    <col min="3338" max="3338" width="9.42578125" style="36" customWidth="1"/>
    <col min="3339" max="3339" width="11.5703125" style="36" customWidth="1"/>
    <col min="3340" max="3340" width="5.42578125" style="36" customWidth="1"/>
    <col min="3341" max="3341" width="9.42578125" style="36" customWidth="1"/>
    <col min="3342" max="3342" width="11.5703125" style="36" customWidth="1"/>
    <col min="3343" max="3343" width="5.42578125" style="36" customWidth="1"/>
    <col min="3344" max="3344" width="9.42578125" style="36" customWidth="1"/>
    <col min="3345" max="3345" width="11.5703125" style="36" customWidth="1"/>
    <col min="3346" max="3346" width="5.42578125" style="36" customWidth="1"/>
    <col min="3347" max="3347" width="9.42578125" style="36" customWidth="1"/>
    <col min="3348" max="3348" width="11.5703125" style="36" customWidth="1"/>
    <col min="3349" max="3349" width="5.42578125" style="36" customWidth="1"/>
    <col min="3350" max="3350" width="9.42578125" style="36" customWidth="1"/>
    <col min="3351" max="3351" width="11.5703125" style="36" customWidth="1"/>
    <col min="3352" max="3352" width="8.5703125" style="36" bestFit="1" customWidth="1"/>
    <col min="3353" max="3353" width="9.42578125" style="36" customWidth="1"/>
    <col min="3354" max="3354" width="11.5703125" style="36" customWidth="1"/>
    <col min="3355" max="3355" width="6.42578125" style="36" customWidth="1"/>
    <col min="3356" max="3583" width="9.140625" style="36"/>
    <col min="3584" max="3584" width="6.140625" style="36" customWidth="1"/>
    <col min="3585" max="3585" width="9.42578125" style="36" customWidth="1"/>
    <col min="3586" max="3586" width="12.140625" style="36" customWidth="1"/>
    <col min="3587" max="3587" width="8.85546875" style="36" bestFit="1" customWidth="1"/>
    <col min="3588" max="3588" width="9.42578125" style="36" customWidth="1"/>
    <col min="3589" max="3589" width="11.5703125" style="36" customWidth="1"/>
    <col min="3590" max="3590" width="5.42578125" style="36" customWidth="1"/>
    <col min="3591" max="3591" width="9.42578125" style="36" customWidth="1"/>
    <col min="3592" max="3592" width="11.5703125" style="36" customWidth="1"/>
    <col min="3593" max="3593" width="5.42578125" style="36" customWidth="1"/>
    <col min="3594" max="3594" width="9.42578125" style="36" customWidth="1"/>
    <col min="3595" max="3595" width="11.5703125" style="36" customWidth="1"/>
    <col min="3596" max="3596" width="5.42578125" style="36" customWidth="1"/>
    <col min="3597" max="3597" width="9.42578125" style="36" customWidth="1"/>
    <col min="3598" max="3598" width="11.5703125" style="36" customWidth="1"/>
    <col min="3599" max="3599" width="5.42578125" style="36" customWidth="1"/>
    <col min="3600" max="3600" width="9.42578125" style="36" customWidth="1"/>
    <col min="3601" max="3601" width="11.5703125" style="36" customWidth="1"/>
    <col min="3602" max="3602" width="5.42578125" style="36" customWidth="1"/>
    <col min="3603" max="3603" width="9.42578125" style="36" customWidth="1"/>
    <col min="3604" max="3604" width="11.5703125" style="36" customWidth="1"/>
    <col min="3605" max="3605" width="5.42578125" style="36" customWidth="1"/>
    <col min="3606" max="3606" width="9.42578125" style="36" customWidth="1"/>
    <col min="3607" max="3607" width="11.5703125" style="36" customWidth="1"/>
    <col min="3608" max="3608" width="8.5703125" style="36" bestFit="1" customWidth="1"/>
    <col min="3609" max="3609" width="9.42578125" style="36" customWidth="1"/>
    <col min="3610" max="3610" width="11.5703125" style="36" customWidth="1"/>
    <col min="3611" max="3611" width="6.42578125" style="36" customWidth="1"/>
    <col min="3612" max="3839" width="9.140625" style="36"/>
    <col min="3840" max="3840" width="6.140625" style="36" customWidth="1"/>
    <col min="3841" max="3841" width="9.42578125" style="36" customWidth="1"/>
    <col min="3842" max="3842" width="12.140625" style="36" customWidth="1"/>
    <col min="3843" max="3843" width="8.85546875" style="36" bestFit="1" customWidth="1"/>
    <col min="3844" max="3844" width="9.42578125" style="36" customWidth="1"/>
    <col min="3845" max="3845" width="11.5703125" style="36" customWidth="1"/>
    <col min="3846" max="3846" width="5.42578125" style="36" customWidth="1"/>
    <col min="3847" max="3847" width="9.42578125" style="36" customWidth="1"/>
    <col min="3848" max="3848" width="11.5703125" style="36" customWidth="1"/>
    <col min="3849" max="3849" width="5.42578125" style="36" customWidth="1"/>
    <col min="3850" max="3850" width="9.42578125" style="36" customWidth="1"/>
    <col min="3851" max="3851" width="11.5703125" style="36" customWidth="1"/>
    <col min="3852" max="3852" width="5.42578125" style="36" customWidth="1"/>
    <col min="3853" max="3853" width="9.42578125" style="36" customWidth="1"/>
    <col min="3854" max="3854" width="11.5703125" style="36" customWidth="1"/>
    <col min="3855" max="3855" width="5.42578125" style="36" customWidth="1"/>
    <col min="3856" max="3856" width="9.42578125" style="36" customWidth="1"/>
    <col min="3857" max="3857" width="11.5703125" style="36" customWidth="1"/>
    <col min="3858" max="3858" width="5.42578125" style="36" customWidth="1"/>
    <col min="3859" max="3859" width="9.42578125" style="36" customWidth="1"/>
    <col min="3860" max="3860" width="11.5703125" style="36" customWidth="1"/>
    <col min="3861" max="3861" width="5.42578125" style="36" customWidth="1"/>
    <col min="3862" max="3862" width="9.42578125" style="36" customWidth="1"/>
    <col min="3863" max="3863" width="11.5703125" style="36" customWidth="1"/>
    <col min="3864" max="3864" width="8.5703125" style="36" bestFit="1" customWidth="1"/>
    <col min="3865" max="3865" width="9.42578125" style="36" customWidth="1"/>
    <col min="3866" max="3866" width="11.5703125" style="36" customWidth="1"/>
    <col min="3867" max="3867" width="6.42578125" style="36" customWidth="1"/>
    <col min="3868" max="4095" width="9.140625" style="36"/>
    <col min="4096" max="4096" width="6.140625" style="36" customWidth="1"/>
    <col min="4097" max="4097" width="9.42578125" style="36" customWidth="1"/>
    <col min="4098" max="4098" width="12.140625" style="36" customWidth="1"/>
    <col min="4099" max="4099" width="8.85546875" style="36" bestFit="1" customWidth="1"/>
    <col min="4100" max="4100" width="9.42578125" style="36" customWidth="1"/>
    <col min="4101" max="4101" width="11.5703125" style="36" customWidth="1"/>
    <col min="4102" max="4102" width="5.42578125" style="36" customWidth="1"/>
    <col min="4103" max="4103" width="9.42578125" style="36" customWidth="1"/>
    <col min="4104" max="4104" width="11.5703125" style="36" customWidth="1"/>
    <col min="4105" max="4105" width="5.42578125" style="36" customWidth="1"/>
    <col min="4106" max="4106" width="9.42578125" style="36" customWidth="1"/>
    <col min="4107" max="4107" width="11.5703125" style="36" customWidth="1"/>
    <col min="4108" max="4108" width="5.42578125" style="36" customWidth="1"/>
    <col min="4109" max="4109" width="9.42578125" style="36" customWidth="1"/>
    <col min="4110" max="4110" width="11.5703125" style="36" customWidth="1"/>
    <col min="4111" max="4111" width="5.42578125" style="36" customWidth="1"/>
    <col min="4112" max="4112" width="9.42578125" style="36" customWidth="1"/>
    <col min="4113" max="4113" width="11.5703125" style="36" customWidth="1"/>
    <col min="4114" max="4114" width="5.42578125" style="36" customWidth="1"/>
    <col min="4115" max="4115" width="9.42578125" style="36" customWidth="1"/>
    <col min="4116" max="4116" width="11.5703125" style="36" customWidth="1"/>
    <col min="4117" max="4117" width="5.42578125" style="36" customWidth="1"/>
    <col min="4118" max="4118" width="9.42578125" style="36" customWidth="1"/>
    <col min="4119" max="4119" width="11.5703125" style="36" customWidth="1"/>
    <col min="4120" max="4120" width="8.5703125" style="36" bestFit="1" customWidth="1"/>
    <col min="4121" max="4121" width="9.42578125" style="36" customWidth="1"/>
    <col min="4122" max="4122" width="11.5703125" style="36" customWidth="1"/>
    <col min="4123" max="4123" width="6.42578125" style="36" customWidth="1"/>
    <col min="4124" max="4351" width="9.140625" style="36"/>
    <col min="4352" max="4352" width="6.140625" style="36" customWidth="1"/>
    <col min="4353" max="4353" width="9.42578125" style="36" customWidth="1"/>
    <col min="4354" max="4354" width="12.140625" style="36" customWidth="1"/>
    <col min="4355" max="4355" width="8.85546875" style="36" bestFit="1" customWidth="1"/>
    <col min="4356" max="4356" width="9.42578125" style="36" customWidth="1"/>
    <col min="4357" max="4357" width="11.5703125" style="36" customWidth="1"/>
    <col min="4358" max="4358" width="5.42578125" style="36" customWidth="1"/>
    <col min="4359" max="4359" width="9.42578125" style="36" customWidth="1"/>
    <col min="4360" max="4360" width="11.5703125" style="36" customWidth="1"/>
    <col min="4361" max="4361" width="5.42578125" style="36" customWidth="1"/>
    <col min="4362" max="4362" width="9.42578125" style="36" customWidth="1"/>
    <col min="4363" max="4363" width="11.5703125" style="36" customWidth="1"/>
    <col min="4364" max="4364" width="5.42578125" style="36" customWidth="1"/>
    <col min="4365" max="4365" width="9.42578125" style="36" customWidth="1"/>
    <col min="4366" max="4366" width="11.5703125" style="36" customWidth="1"/>
    <col min="4367" max="4367" width="5.42578125" style="36" customWidth="1"/>
    <col min="4368" max="4368" width="9.42578125" style="36" customWidth="1"/>
    <col min="4369" max="4369" width="11.5703125" style="36" customWidth="1"/>
    <col min="4370" max="4370" width="5.42578125" style="36" customWidth="1"/>
    <col min="4371" max="4371" width="9.42578125" style="36" customWidth="1"/>
    <col min="4372" max="4372" width="11.5703125" style="36" customWidth="1"/>
    <col min="4373" max="4373" width="5.42578125" style="36" customWidth="1"/>
    <col min="4374" max="4374" width="9.42578125" style="36" customWidth="1"/>
    <col min="4375" max="4375" width="11.5703125" style="36" customWidth="1"/>
    <col min="4376" max="4376" width="8.5703125" style="36" bestFit="1" customWidth="1"/>
    <col min="4377" max="4377" width="9.42578125" style="36" customWidth="1"/>
    <col min="4378" max="4378" width="11.5703125" style="36" customWidth="1"/>
    <col min="4379" max="4379" width="6.42578125" style="36" customWidth="1"/>
    <col min="4380" max="4607" width="9.140625" style="36"/>
    <col min="4608" max="4608" width="6.140625" style="36" customWidth="1"/>
    <col min="4609" max="4609" width="9.42578125" style="36" customWidth="1"/>
    <col min="4610" max="4610" width="12.140625" style="36" customWidth="1"/>
    <col min="4611" max="4611" width="8.85546875" style="36" bestFit="1" customWidth="1"/>
    <col min="4612" max="4612" width="9.42578125" style="36" customWidth="1"/>
    <col min="4613" max="4613" width="11.5703125" style="36" customWidth="1"/>
    <col min="4614" max="4614" width="5.42578125" style="36" customWidth="1"/>
    <col min="4615" max="4615" width="9.42578125" style="36" customWidth="1"/>
    <col min="4616" max="4616" width="11.5703125" style="36" customWidth="1"/>
    <col min="4617" max="4617" width="5.42578125" style="36" customWidth="1"/>
    <col min="4618" max="4618" width="9.42578125" style="36" customWidth="1"/>
    <col min="4619" max="4619" width="11.5703125" style="36" customWidth="1"/>
    <col min="4620" max="4620" width="5.42578125" style="36" customWidth="1"/>
    <col min="4621" max="4621" width="9.42578125" style="36" customWidth="1"/>
    <col min="4622" max="4622" width="11.5703125" style="36" customWidth="1"/>
    <col min="4623" max="4623" width="5.42578125" style="36" customWidth="1"/>
    <col min="4624" max="4624" width="9.42578125" style="36" customWidth="1"/>
    <col min="4625" max="4625" width="11.5703125" style="36" customWidth="1"/>
    <col min="4626" max="4626" width="5.42578125" style="36" customWidth="1"/>
    <col min="4627" max="4627" width="9.42578125" style="36" customWidth="1"/>
    <col min="4628" max="4628" width="11.5703125" style="36" customWidth="1"/>
    <col min="4629" max="4629" width="5.42578125" style="36" customWidth="1"/>
    <col min="4630" max="4630" width="9.42578125" style="36" customWidth="1"/>
    <col min="4631" max="4631" width="11.5703125" style="36" customWidth="1"/>
    <col min="4632" max="4632" width="8.5703125" style="36" bestFit="1" customWidth="1"/>
    <col min="4633" max="4633" width="9.42578125" style="36" customWidth="1"/>
    <col min="4634" max="4634" width="11.5703125" style="36" customWidth="1"/>
    <col min="4635" max="4635" width="6.42578125" style="36" customWidth="1"/>
    <col min="4636" max="4863" width="9.140625" style="36"/>
    <col min="4864" max="4864" width="6.140625" style="36" customWidth="1"/>
    <col min="4865" max="4865" width="9.42578125" style="36" customWidth="1"/>
    <col min="4866" max="4866" width="12.140625" style="36" customWidth="1"/>
    <col min="4867" max="4867" width="8.85546875" style="36" bestFit="1" customWidth="1"/>
    <col min="4868" max="4868" width="9.42578125" style="36" customWidth="1"/>
    <col min="4869" max="4869" width="11.5703125" style="36" customWidth="1"/>
    <col min="4870" max="4870" width="5.42578125" style="36" customWidth="1"/>
    <col min="4871" max="4871" width="9.42578125" style="36" customWidth="1"/>
    <col min="4872" max="4872" width="11.5703125" style="36" customWidth="1"/>
    <col min="4873" max="4873" width="5.42578125" style="36" customWidth="1"/>
    <col min="4874" max="4874" width="9.42578125" style="36" customWidth="1"/>
    <col min="4875" max="4875" width="11.5703125" style="36" customWidth="1"/>
    <col min="4876" max="4876" width="5.42578125" style="36" customWidth="1"/>
    <col min="4877" max="4877" width="9.42578125" style="36" customWidth="1"/>
    <col min="4878" max="4878" width="11.5703125" style="36" customWidth="1"/>
    <col min="4879" max="4879" width="5.42578125" style="36" customWidth="1"/>
    <col min="4880" max="4880" width="9.42578125" style="36" customWidth="1"/>
    <col min="4881" max="4881" width="11.5703125" style="36" customWidth="1"/>
    <col min="4882" max="4882" width="5.42578125" style="36" customWidth="1"/>
    <col min="4883" max="4883" width="9.42578125" style="36" customWidth="1"/>
    <col min="4884" max="4884" width="11.5703125" style="36" customWidth="1"/>
    <col min="4885" max="4885" width="5.42578125" style="36" customWidth="1"/>
    <col min="4886" max="4886" width="9.42578125" style="36" customWidth="1"/>
    <col min="4887" max="4887" width="11.5703125" style="36" customWidth="1"/>
    <col min="4888" max="4888" width="8.5703125" style="36" bestFit="1" customWidth="1"/>
    <col min="4889" max="4889" width="9.42578125" style="36" customWidth="1"/>
    <col min="4890" max="4890" width="11.5703125" style="36" customWidth="1"/>
    <col min="4891" max="4891" width="6.42578125" style="36" customWidth="1"/>
    <col min="4892" max="5119" width="9.140625" style="36"/>
    <col min="5120" max="5120" width="6.140625" style="36" customWidth="1"/>
    <col min="5121" max="5121" width="9.42578125" style="36" customWidth="1"/>
    <col min="5122" max="5122" width="12.140625" style="36" customWidth="1"/>
    <col min="5123" max="5123" width="8.85546875" style="36" bestFit="1" customWidth="1"/>
    <col min="5124" max="5124" width="9.42578125" style="36" customWidth="1"/>
    <col min="5125" max="5125" width="11.5703125" style="36" customWidth="1"/>
    <col min="5126" max="5126" width="5.42578125" style="36" customWidth="1"/>
    <col min="5127" max="5127" width="9.42578125" style="36" customWidth="1"/>
    <col min="5128" max="5128" width="11.5703125" style="36" customWidth="1"/>
    <col min="5129" max="5129" width="5.42578125" style="36" customWidth="1"/>
    <col min="5130" max="5130" width="9.42578125" style="36" customWidth="1"/>
    <col min="5131" max="5131" width="11.5703125" style="36" customWidth="1"/>
    <col min="5132" max="5132" width="5.42578125" style="36" customWidth="1"/>
    <col min="5133" max="5133" width="9.42578125" style="36" customWidth="1"/>
    <col min="5134" max="5134" width="11.5703125" style="36" customWidth="1"/>
    <col min="5135" max="5135" width="5.42578125" style="36" customWidth="1"/>
    <col min="5136" max="5136" width="9.42578125" style="36" customWidth="1"/>
    <col min="5137" max="5137" width="11.5703125" style="36" customWidth="1"/>
    <col min="5138" max="5138" width="5.42578125" style="36" customWidth="1"/>
    <col min="5139" max="5139" width="9.42578125" style="36" customWidth="1"/>
    <col min="5140" max="5140" width="11.5703125" style="36" customWidth="1"/>
    <col min="5141" max="5141" width="5.42578125" style="36" customWidth="1"/>
    <col min="5142" max="5142" width="9.42578125" style="36" customWidth="1"/>
    <col min="5143" max="5143" width="11.5703125" style="36" customWidth="1"/>
    <col min="5144" max="5144" width="8.5703125" style="36" bestFit="1" customWidth="1"/>
    <col min="5145" max="5145" width="9.42578125" style="36" customWidth="1"/>
    <col min="5146" max="5146" width="11.5703125" style="36" customWidth="1"/>
    <col min="5147" max="5147" width="6.42578125" style="36" customWidth="1"/>
    <col min="5148" max="5375" width="9.140625" style="36"/>
    <col min="5376" max="5376" width="6.140625" style="36" customWidth="1"/>
    <col min="5377" max="5377" width="9.42578125" style="36" customWidth="1"/>
    <col min="5378" max="5378" width="12.140625" style="36" customWidth="1"/>
    <col min="5379" max="5379" width="8.85546875" style="36" bestFit="1" customWidth="1"/>
    <col min="5380" max="5380" width="9.42578125" style="36" customWidth="1"/>
    <col min="5381" max="5381" width="11.5703125" style="36" customWidth="1"/>
    <col min="5382" max="5382" width="5.42578125" style="36" customWidth="1"/>
    <col min="5383" max="5383" width="9.42578125" style="36" customWidth="1"/>
    <col min="5384" max="5384" width="11.5703125" style="36" customWidth="1"/>
    <col min="5385" max="5385" width="5.42578125" style="36" customWidth="1"/>
    <col min="5386" max="5386" width="9.42578125" style="36" customWidth="1"/>
    <col min="5387" max="5387" width="11.5703125" style="36" customWidth="1"/>
    <col min="5388" max="5388" width="5.42578125" style="36" customWidth="1"/>
    <col min="5389" max="5389" width="9.42578125" style="36" customWidth="1"/>
    <col min="5390" max="5390" width="11.5703125" style="36" customWidth="1"/>
    <col min="5391" max="5391" width="5.42578125" style="36" customWidth="1"/>
    <col min="5392" max="5392" width="9.42578125" style="36" customWidth="1"/>
    <col min="5393" max="5393" width="11.5703125" style="36" customWidth="1"/>
    <col min="5394" max="5394" width="5.42578125" style="36" customWidth="1"/>
    <col min="5395" max="5395" width="9.42578125" style="36" customWidth="1"/>
    <col min="5396" max="5396" width="11.5703125" style="36" customWidth="1"/>
    <col min="5397" max="5397" width="5.42578125" style="36" customWidth="1"/>
    <col min="5398" max="5398" width="9.42578125" style="36" customWidth="1"/>
    <col min="5399" max="5399" width="11.5703125" style="36" customWidth="1"/>
    <col min="5400" max="5400" width="8.5703125" style="36" bestFit="1" customWidth="1"/>
    <col min="5401" max="5401" width="9.42578125" style="36" customWidth="1"/>
    <col min="5402" max="5402" width="11.5703125" style="36" customWidth="1"/>
    <col min="5403" max="5403" width="6.42578125" style="36" customWidth="1"/>
    <col min="5404" max="5631" width="9.140625" style="36"/>
    <col min="5632" max="5632" width="6.140625" style="36" customWidth="1"/>
    <col min="5633" max="5633" width="9.42578125" style="36" customWidth="1"/>
    <col min="5634" max="5634" width="12.140625" style="36" customWidth="1"/>
    <col min="5635" max="5635" width="8.85546875" style="36" bestFit="1" customWidth="1"/>
    <col min="5636" max="5636" width="9.42578125" style="36" customWidth="1"/>
    <col min="5637" max="5637" width="11.5703125" style="36" customWidth="1"/>
    <col min="5638" max="5638" width="5.42578125" style="36" customWidth="1"/>
    <col min="5639" max="5639" width="9.42578125" style="36" customWidth="1"/>
    <col min="5640" max="5640" width="11.5703125" style="36" customWidth="1"/>
    <col min="5641" max="5641" width="5.42578125" style="36" customWidth="1"/>
    <col min="5642" max="5642" width="9.42578125" style="36" customWidth="1"/>
    <col min="5643" max="5643" width="11.5703125" style="36" customWidth="1"/>
    <col min="5644" max="5644" width="5.42578125" style="36" customWidth="1"/>
    <col min="5645" max="5645" width="9.42578125" style="36" customWidth="1"/>
    <col min="5646" max="5646" width="11.5703125" style="36" customWidth="1"/>
    <col min="5647" max="5647" width="5.42578125" style="36" customWidth="1"/>
    <col min="5648" max="5648" width="9.42578125" style="36" customWidth="1"/>
    <col min="5649" max="5649" width="11.5703125" style="36" customWidth="1"/>
    <col min="5650" max="5650" width="5.42578125" style="36" customWidth="1"/>
    <col min="5651" max="5651" width="9.42578125" style="36" customWidth="1"/>
    <col min="5652" max="5652" width="11.5703125" style="36" customWidth="1"/>
    <col min="5653" max="5653" width="5.42578125" style="36" customWidth="1"/>
    <col min="5654" max="5654" width="9.42578125" style="36" customWidth="1"/>
    <col min="5655" max="5655" width="11.5703125" style="36" customWidth="1"/>
    <col min="5656" max="5656" width="8.5703125" style="36" bestFit="1" customWidth="1"/>
    <col min="5657" max="5657" width="9.42578125" style="36" customWidth="1"/>
    <col min="5658" max="5658" width="11.5703125" style="36" customWidth="1"/>
    <col min="5659" max="5659" width="6.42578125" style="36" customWidth="1"/>
    <col min="5660" max="5887" width="9.140625" style="36"/>
    <col min="5888" max="5888" width="6.140625" style="36" customWidth="1"/>
    <col min="5889" max="5889" width="9.42578125" style="36" customWidth="1"/>
    <col min="5890" max="5890" width="12.140625" style="36" customWidth="1"/>
    <col min="5891" max="5891" width="8.85546875" style="36" bestFit="1" customWidth="1"/>
    <col min="5892" max="5892" width="9.42578125" style="36" customWidth="1"/>
    <col min="5893" max="5893" width="11.5703125" style="36" customWidth="1"/>
    <col min="5894" max="5894" width="5.42578125" style="36" customWidth="1"/>
    <col min="5895" max="5895" width="9.42578125" style="36" customWidth="1"/>
    <col min="5896" max="5896" width="11.5703125" style="36" customWidth="1"/>
    <col min="5897" max="5897" width="5.42578125" style="36" customWidth="1"/>
    <col min="5898" max="5898" width="9.42578125" style="36" customWidth="1"/>
    <col min="5899" max="5899" width="11.5703125" style="36" customWidth="1"/>
    <col min="5900" max="5900" width="5.42578125" style="36" customWidth="1"/>
    <col min="5901" max="5901" width="9.42578125" style="36" customWidth="1"/>
    <col min="5902" max="5902" width="11.5703125" style="36" customWidth="1"/>
    <col min="5903" max="5903" width="5.42578125" style="36" customWidth="1"/>
    <col min="5904" max="5904" width="9.42578125" style="36" customWidth="1"/>
    <col min="5905" max="5905" width="11.5703125" style="36" customWidth="1"/>
    <col min="5906" max="5906" width="5.42578125" style="36" customWidth="1"/>
    <col min="5907" max="5907" width="9.42578125" style="36" customWidth="1"/>
    <col min="5908" max="5908" width="11.5703125" style="36" customWidth="1"/>
    <col min="5909" max="5909" width="5.42578125" style="36" customWidth="1"/>
    <col min="5910" max="5910" width="9.42578125" style="36" customWidth="1"/>
    <col min="5911" max="5911" width="11.5703125" style="36" customWidth="1"/>
    <col min="5912" max="5912" width="8.5703125" style="36" bestFit="1" customWidth="1"/>
    <col min="5913" max="5913" width="9.42578125" style="36" customWidth="1"/>
    <col min="5914" max="5914" width="11.5703125" style="36" customWidth="1"/>
    <col min="5915" max="5915" width="6.42578125" style="36" customWidth="1"/>
    <col min="5916" max="6143" width="9.140625" style="36"/>
    <col min="6144" max="6144" width="6.140625" style="36" customWidth="1"/>
    <col min="6145" max="6145" width="9.42578125" style="36" customWidth="1"/>
    <col min="6146" max="6146" width="12.140625" style="36" customWidth="1"/>
    <col min="6147" max="6147" width="8.85546875" style="36" bestFit="1" customWidth="1"/>
    <col min="6148" max="6148" width="9.42578125" style="36" customWidth="1"/>
    <col min="6149" max="6149" width="11.5703125" style="36" customWidth="1"/>
    <col min="6150" max="6150" width="5.42578125" style="36" customWidth="1"/>
    <col min="6151" max="6151" width="9.42578125" style="36" customWidth="1"/>
    <col min="6152" max="6152" width="11.5703125" style="36" customWidth="1"/>
    <col min="6153" max="6153" width="5.42578125" style="36" customWidth="1"/>
    <col min="6154" max="6154" width="9.42578125" style="36" customWidth="1"/>
    <col min="6155" max="6155" width="11.5703125" style="36" customWidth="1"/>
    <col min="6156" max="6156" width="5.42578125" style="36" customWidth="1"/>
    <col min="6157" max="6157" width="9.42578125" style="36" customWidth="1"/>
    <col min="6158" max="6158" width="11.5703125" style="36" customWidth="1"/>
    <col min="6159" max="6159" width="5.42578125" style="36" customWidth="1"/>
    <col min="6160" max="6160" width="9.42578125" style="36" customWidth="1"/>
    <col min="6161" max="6161" width="11.5703125" style="36" customWidth="1"/>
    <col min="6162" max="6162" width="5.42578125" style="36" customWidth="1"/>
    <col min="6163" max="6163" width="9.42578125" style="36" customWidth="1"/>
    <col min="6164" max="6164" width="11.5703125" style="36" customWidth="1"/>
    <col min="6165" max="6165" width="5.42578125" style="36" customWidth="1"/>
    <col min="6166" max="6166" width="9.42578125" style="36" customWidth="1"/>
    <col min="6167" max="6167" width="11.5703125" style="36" customWidth="1"/>
    <col min="6168" max="6168" width="8.5703125" style="36" bestFit="1" customWidth="1"/>
    <col min="6169" max="6169" width="9.42578125" style="36" customWidth="1"/>
    <col min="6170" max="6170" width="11.5703125" style="36" customWidth="1"/>
    <col min="6171" max="6171" width="6.42578125" style="36" customWidth="1"/>
    <col min="6172" max="6399" width="9.140625" style="36"/>
    <col min="6400" max="6400" width="6.140625" style="36" customWidth="1"/>
    <col min="6401" max="6401" width="9.42578125" style="36" customWidth="1"/>
    <col min="6402" max="6402" width="12.140625" style="36" customWidth="1"/>
    <col min="6403" max="6403" width="8.85546875" style="36" bestFit="1" customWidth="1"/>
    <col min="6404" max="6404" width="9.42578125" style="36" customWidth="1"/>
    <col min="6405" max="6405" width="11.5703125" style="36" customWidth="1"/>
    <col min="6406" max="6406" width="5.42578125" style="36" customWidth="1"/>
    <col min="6407" max="6407" width="9.42578125" style="36" customWidth="1"/>
    <col min="6408" max="6408" width="11.5703125" style="36" customWidth="1"/>
    <col min="6409" max="6409" width="5.42578125" style="36" customWidth="1"/>
    <col min="6410" max="6410" width="9.42578125" style="36" customWidth="1"/>
    <col min="6411" max="6411" width="11.5703125" style="36" customWidth="1"/>
    <col min="6412" max="6412" width="5.42578125" style="36" customWidth="1"/>
    <col min="6413" max="6413" width="9.42578125" style="36" customWidth="1"/>
    <col min="6414" max="6414" width="11.5703125" style="36" customWidth="1"/>
    <col min="6415" max="6415" width="5.42578125" style="36" customWidth="1"/>
    <col min="6416" max="6416" width="9.42578125" style="36" customWidth="1"/>
    <col min="6417" max="6417" width="11.5703125" style="36" customWidth="1"/>
    <col min="6418" max="6418" width="5.42578125" style="36" customWidth="1"/>
    <col min="6419" max="6419" width="9.42578125" style="36" customWidth="1"/>
    <col min="6420" max="6420" width="11.5703125" style="36" customWidth="1"/>
    <col min="6421" max="6421" width="5.42578125" style="36" customWidth="1"/>
    <col min="6422" max="6422" width="9.42578125" style="36" customWidth="1"/>
    <col min="6423" max="6423" width="11.5703125" style="36" customWidth="1"/>
    <col min="6424" max="6424" width="8.5703125" style="36" bestFit="1" customWidth="1"/>
    <col min="6425" max="6425" width="9.42578125" style="36" customWidth="1"/>
    <col min="6426" max="6426" width="11.5703125" style="36" customWidth="1"/>
    <col min="6427" max="6427" width="6.42578125" style="36" customWidth="1"/>
    <col min="6428" max="6655" width="9.140625" style="36"/>
    <col min="6656" max="6656" width="6.140625" style="36" customWidth="1"/>
    <col min="6657" max="6657" width="9.42578125" style="36" customWidth="1"/>
    <col min="6658" max="6658" width="12.140625" style="36" customWidth="1"/>
    <col min="6659" max="6659" width="8.85546875" style="36" bestFit="1" customWidth="1"/>
    <col min="6660" max="6660" width="9.42578125" style="36" customWidth="1"/>
    <col min="6661" max="6661" width="11.5703125" style="36" customWidth="1"/>
    <col min="6662" max="6662" width="5.42578125" style="36" customWidth="1"/>
    <col min="6663" max="6663" width="9.42578125" style="36" customWidth="1"/>
    <col min="6664" max="6664" width="11.5703125" style="36" customWidth="1"/>
    <col min="6665" max="6665" width="5.42578125" style="36" customWidth="1"/>
    <col min="6666" max="6666" width="9.42578125" style="36" customWidth="1"/>
    <col min="6667" max="6667" width="11.5703125" style="36" customWidth="1"/>
    <col min="6668" max="6668" width="5.42578125" style="36" customWidth="1"/>
    <col min="6669" max="6669" width="9.42578125" style="36" customWidth="1"/>
    <col min="6670" max="6670" width="11.5703125" style="36" customWidth="1"/>
    <col min="6671" max="6671" width="5.42578125" style="36" customWidth="1"/>
    <col min="6672" max="6672" width="9.42578125" style="36" customWidth="1"/>
    <col min="6673" max="6673" width="11.5703125" style="36" customWidth="1"/>
    <col min="6674" max="6674" width="5.42578125" style="36" customWidth="1"/>
    <col min="6675" max="6675" width="9.42578125" style="36" customWidth="1"/>
    <col min="6676" max="6676" width="11.5703125" style="36" customWidth="1"/>
    <col min="6677" max="6677" width="5.42578125" style="36" customWidth="1"/>
    <col min="6678" max="6678" width="9.42578125" style="36" customWidth="1"/>
    <col min="6679" max="6679" width="11.5703125" style="36" customWidth="1"/>
    <col min="6680" max="6680" width="8.5703125" style="36" bestFit="1" customWidth="1"/>
    <col min="6681" max="6681" width="9.42578125" style="36" customWidth="1"/>
    <col min="6682" max="6682" width="11.5703125" style="36" customWidth="1"/>
    <col min="6683" max="6683" width="6.42578125" style="36" customWidth="1"/>
    <col min="6684" max="6911" width="9.140625" style="36"/>
    <col min="6912" max="6912" width="6.140625" style="36" customWidth="1"/>
    <col min="6913" max="6913" width="9.42578125" style="36" customWidth="1"/>
    <col min="6914" max="6914" width="12.140625" style="36" customWidth="1"/>
    <col min="6915" max="6915" width="8.85546875" style="36" bestFit="1" customWidth="1"/>
    <col min="6916" max="6916" width="9.42578125" style="36" customWidth="1"/>
    <col min="6917" max="6917" width="11.5703125" style="36" customWidth="1"/>
    <col min="6918" max="6918" width="5.42578125" style="36" customWidth="1"/>
    <col min="6919" max="6919" width="9.42578125" style="36" customWidth="1"/>
    <col min="6920" max="6920" width="11.5703125" style="36" customWidth="1"/>
    <col min="6921" max="6921" width="5.42578125" style="36" customWidth="1"/>
    <col min="6922" max="6922" width="9.42578125" style="36" customWidth="1"/>
    <col min="6923" max="6923" width="11.5703125" style="36" customWidth="1"/>
    <col min="6924" max="6924" width="5.42578125" style="36" customWidth="1"/>
    <col min="6925" max="6925" width="9.42578125" style="36" customWidth="1"/>
    <col min="6926" max="6926" width="11.5703125" style="36" customWidth="1"/>
    <col min="6927" max="6927" width="5.42578125" style="36" customWidth="1"/>
    <col min="6928" max="6928" width="9.42578125" style="36" customWidth="1"/>
    <col min="6929" max="6929" width="11.5703125" style="36" customWidth="1"/>
    <col min="6930" max="6930" width="5.42578125" style="36" customWidth="1"/>
    <col min="6931" max="6931" width="9.42578125" style="36" customWidth="1"/>
    <col min="6932" max="6932" width="11.5703125" style="36" customWidth="1"/>
    <col min="6933" max="6933" width="5.42578125" style="36" customWidth="1"/>
    <col min="6934" max="6934" width="9.42578125" style="36" customWidth="1"/>
    <col min="6935" max="6935" width="11.5703125" style="36" customWidth="1"/>
    <col min="6936" max="6936" width="8.5703125" style="36" bestFit="1" customWidth="1"/>
    <col min="6937" max="6937" width="9.42578125" style="36" customWidth="1"/>
    <col min="6938" max="6938" width="11.5703125" style="36" customWidth="1"/>
    <col min="6939" max="6939" width="6.42578125" style="36" customWidth="1"/>
    <col min="6940" max="7167" width="9.140625" style="36"/>
    <col min="7168" max="7168" width="6.140625" style="36" customWidth="1"/>
    <col min="7169" max="7169" width="9.42578125" style="36" customWidth="1"/>
    <col min="7170" max="7170" width="12.140625" style="36" customWidth="1"/>
    <col min="7171" max="7171" width="8.85546875" style="36" bestFit="1" customWidth="1"/>
    <col min="7172" max="7172" width="9.42578125" style="36" customWidth="1"/>
    <col min="7173" max="7173" width="11.5703125" style="36" customWidth="1"/>
    <col min="7174" max="7174" width="5.42578125" style="36" customWidth="1"/>
    <col min="7175" max="7175" width="9.42578125" style="36" customWidth="1"/>
    <col min="7176" max="7176" width="11.5703125" style="36" customWidth="1"/>
    <col min="7177" max="7177" width="5.42578125" style="36" customWidth="1"/>
    <col min="7178" max="7178" width="9.42578125" style="36" customWidth="1"/>
    <col min="7179" max="7179" width="11.5703125" style="36" customWidth="1"/>
    <col min="7180" max="7180" width="5.42578125" style="36" customWidth="1"/>
    <col min="7181" max="7181" width="9.42578125" style="36" customWidth="1"/>
    <col min="7182" max="7182" width="11.5703125" style="36" customWidth="1"/>
    <col min="7183" max="7183" width="5.42578125" style="36" customWidth="1"/>
    <col min="7184" max="7184" width="9.42578125" style="36" customWidth="1"/>
    <col min="7185" max="7185" width="11.5703125" style="36" customWidth="1"/>
    <col min="7186" max="7186" width="5.42578125" style="36" customWidth="1"/>
    <col min="7187" max="7187" width="9.42578125" style="36" customWidth="1"/>
    <col min="7188" max="7188" width="11.5703125" style="36" customWidth="1"/>
    <col min="7189" max="7189" width="5.42578125" style="36" customWidth="1"/>
    <col min="7190" max="7190" width="9.42578125" style="36" customWidth="1"/>
    <col min="7191" max="7191" width="11.5703125" style="36" customWidth="1"/>
    <col min="7192" max="7192" width="8.5703125" style="36" bestFit="1" customWidth="1"/>
    <col min="7193" max="7193" width="9.42578125" style="36" customWidth="1"/>
    <col min="7194" max="7194" width="11.5703125" style="36" customWidth="1"/>
    <col min="7195" max="7195" width="6.42578125" style="36" customWidth="1"/>
    <col min="7196" max="7423" width="9.140625" style="36"/>
    <col min="7424" max="7424" width="6.140625" style="36" customWidth="1"/>
    <col min="7425" max="7425" width="9.42578125" style="36" customWidth="1"/>
    <col min="7426" max="7426" width="12.140625" style="36" customWidth="1"/>
    <col min="7427" max="7427" width="8.85546875" style="36" bestFit="1" customWidth="1"/>
    <col min="7428" max="7428" width="9.42578125" style="36" customWidth="1"/>
    <col min="7429" max="7429" width="11.5703125" style="36" customWidth="1"/>
    <col min="7430" max="7430" width="5.42578125" style="36" customWidth="1"/>
    <col min="7431" max="7431" width="9.42578125" style="36" customWidth="1"/>
    <col min="7432" max="7432" width="11.5703125" style="36" customWidth="1"/>
    <col min="7433" max="7433" width="5.42578125" style="36" customWidth="1"/>
    <col min="7434" max="7434" width="9.42578125" style="36" customWidth="1"/>
    <col min="7435" max="7435" width="11.5703125" style="36" customWidth="1"/>
    <col min="7436" max="7436" width="5.42578125" style="36" customWidth="1"/>
    <col min="7437" max="7437" width="9.42578125" style="36" customWidth="1"/>
    <col min="7438" max="7438" width="11.5703125" style="36" customWidth="1"/>
    <col min="7439" max="7439" width="5.42578125" style="36" customWidth="1"/>
    <col min="7440" max="7440" width="9.42578125" style="36" customWidth="1"/>
    <col min="7441" max="7441" width="11.5703125" style="36" customWidth="1"/>
    <col min="7442" max="7442" width="5.42578125" style="36" customWidth="1"/>
    <col min="7443" max="7443" width="9.42578125" style="36" customWidth="1"/>
    <col min="7444" max="7444" width="11.5703125" style="36" customWidth="1"/>
    <col min="7445" max="7445" width="5.42578125" style="36" customWidth="1"/>
    <col min="7446" max="7446" width="9.42578125" style="36" customWidth="1"/>
    <col min="7447" max="7447" width="11.5703125" style="36" customWidth="1"/>
    <col min="7448" max="7448" width="8.5703125" style="36" bestFit="1" customWidth="1"/>
    <col min="7449" max="7449" width="9.42578125" style="36" customWidth="1"/>
    <col min="7450" max="7450" width="11.5703125" style="36" customWidth="1"/>
    <col min="7451" max="7451" width="6.42578125" style="36" customWidth="1"/>
    <col min="7452" max="7679" width="9.140625" style="36"/>
    <col min="7680" max="7680" width="6.140625" style="36" customWidth="1"/>
    <col min="7681" max="7681" width="9.42578125" style="36" customWidth="1"/>
    <col min="7682" max="7682" width="12.140625" style="36" customWidth="1"/>
    <col min="7683" max="7683" width="8.85546875" style="36" bestFit="1" customWidth="1"/>
    <col min="7684" max="7684" width="9.42578125" style="36" customWidth="1"/>
    <col min="7685" max="7685" width="11.5703125" style="36" customWidth="1"/>
    <col min="7686" max="7686" width="5.42578125" style="36" customWidth="1"/>
    <col min="7687" max="7687" width="9.42578125" style="36" customWidth="1"/>
    <col min="7688" max="7688" width="11.5703125" style="36" customWidth="1"/>
    <col min="7689" max="7689" width="5.42578125" style="36" customWidth="1"/>
    <col min="7690" max="7690" width="9.42578125" style="36" customWidth="1"/>
    <col min="7691" max="7691" width="11.5703125" style="36" customWidth="1"/>
    <col min="7692" max="7692" width="5.42578125" style="36" customWidth="1"/>
    <col min="7693" max="7693" width="9.42578125" style="36" customWidth="1"/>
    <col min="7694" max="7694" width="11.5703125" style="36" customWidth="1"/>
    <col min="7695" max="7695" width="5.42578125" style="36" customWidth="1"/>
    <col min="7696" max="7696" width="9.42578125" style="36" customWidth="1"/>
    <col min="7697" max="7697" width="11.5703125" style="36" customWidth="1"/>
    <col min="7698" max="7698" width="5.42578125" style="36" customWidth="1"/>
    <col min="7699" max="7699" width="9.42578125" style="36" customWidth="1"/>
    <col min="7700" max="7700" width="11.5703125" style="36" customWidth="1"/>
    <col min="7701" max="7701" width="5.42578125" style="36" customWidth="1"/>
    <col min="7702" max="7702" width="9.42578125" style="36" customWidth="1"/>
    <col min="7703" max="7703" width="11.5703125" style="36" customWidth="1"/>
    <col min="7704" max="7704" width="8.5703125" style="36" bestFit="1" customWidth="1"/>
    <col min="7705" max="7705" width="9.42578125" style="36" customWidth="1"/>
    <col min="7706" max="7706" width="11.5703125" style="36" customWidth="1"/>
    <col min="7707" max="7707" width="6.42578125" style="36" customWidth="1"/>
    <col min="7708" max="7935" width="9.140625" style="36"/>
    <col min="7936" max="7936" width="6.140625" style="36" customWidth="1"/>
    <col min="7937" max="7937" width="9.42578125" style="36" customWidth="1"/>
    <col min="7938" max="7938" width="12.140625" style="36" customWidth="1"/>
    <col min="7939" max="7939" width="8.85546875" style="36" bestFit="1" customWidth="1"/>
    <col min="7940" max="7940" width="9.42578125" style="36" customWidth="1"/>
    <col min="7941" max="7941" width="11.5703125" style="36" customWidth="1"/>
    <col min="7942" max="7942" width="5.42578125" style="36" customWidth="1"/>
    <col min="7943" max="7943" width="9.42578125" style="36" customWidth="1"/>
    <col min="7944" max="7944" width="11.5703125" style="36" customWidth="1"/>
    <col min="7945" max="7945" width="5.42578125" style="36" customWidth="1"/>
    <col min="7946" max="7946" width="9.42578125" style="36" customWidth="1"/>
    <col min="7947" max="7947" width="11.5703125" style="36" customWidth="1"/>
    <col min="7948" max="7948" width="5.42578125" style="36" customWidth="1"/>
    <col min="7949" max="7949" width="9.42578125" style="36" customWidth="1"/>
    <col min="7950" max="7950" width="11.5703125" style="36" customWidth="1"/>
    <col min="7951" max="7951" width="5.42578125" style="36" customWidth="1"/>
    <col min="7952" max="7952" width="9.42578125" style="36" customWidth="1"/>
    <col min="7953" max="7953" width="11.5703125" style="36" customWidth="1"/>
    <col min="7954" max="7954" width="5.42578125" style="36" customWidth="1"/>
    <col min="7955" max="7955" width="9.42578125" style="36" customWidth="1"/>
    <col min="7956" max="7956" width="11.5703125" style="36" customWidth="1"/>
    <col min="7957" max="7957" width="5.42578125" style="36" customWidth="1"/>
    <col min="7958" max="7958" width="9.42578125" style="36" customWidth="1"/>
    <col min="7959" max="7959" width="11.5703125" style="36" customWidth="1"/>
    <col min="7960" max="7960" width="8.5703125" style="36" bestFit="1" customWidth="1"/>
    <col min="7961" max="7961" width="9.42578125" style="36" customWidth="1"/>
    <col min="7962" max="7962" width="11.5703125" style="36" customWidth="1"/>
    <col min="7963" max="7963" width="6.42578125" style="36" customWidth="1"/>
    <col min="7964" max="8191" width="9.140625" style="36"/>
    <col min="8192" max="8192" width="6.140625" style="36" customWidth="1"/>
    <col min="8193" max="8193" width="9.42578125" style="36" customWidth="1"/>
    <col min="8194" max="8194" width="12.140625" style="36" customWidth="1"/>
    <col min="8195" max="8195" width="8.85546875" style="36" bestFit="1" customWidth="1"/>
    <col min="8196" max="8196" width="9.42578125" style="36" customWidth="1"/>
    <col min="8197" max="8197" width="11.5703125" style="36" customWidth="1"/>
    <col min="8198" max="8198" width="5.42578125" style="36" customWidth="1"/>
    <col min="8199" max="8199" width="9.42578125" style="36" customWidth="1"/>
    <col min="8200" max="8200" width="11.5703125" style="36" customWidth="1"/>
    <col min="8201" max="8201" width="5.42578125" style="36" customWidth="1"/>
    <col min="8202" max="8202" width="9.42578125" style="36" customWidth="1"/>
    <col min="8203" max="8203" width="11.5703125" style="36" customWidth="1"/>
    <col min="8204" max="8204" width="5.42578125" style="36" customWidth="1"/>
    <col min="8205" max="8205" width="9.42578125" style="36" customWidth="1"/>
    <col min="8206" max="8206" width="11.5703125" style="36" customWidth="1"/>
    <col min="8207" max="8207" width="5.42578125" style="36" customWidth="1"/>
    <col min="8208" max="8208" width="9.42578125" style="36" customWidth="1"/>
    <col min="8209" max="8209" width="11.5703125" style="36" customWidth="1"/>
    <col min="8210" max="8210" width="5.42578125" style="36" customWidth="1"/>
    <col min="8211" max="8211" width="9.42578125" style="36" customWidth="1"/>
    <col min="8212" max="8212" width="11.5703125" style="36" customWidth="1"/>
    <col min="8213" max="8213" width="5.42578125" style="36" customWidth="1"/>
    <col min="8214" max="8214" width="9.42578125" style="36" customWidth="1"/>
    <col min="8215" max="8215" width="11.5703125" style="36" customWidth="1"/>
    <col min="8216" max="8216" width="8.5703125" style="36" bestFit="1" customWidth="1"/>
    <col min="8217" max="8217" width="9.42578125" style="36" customWidth="1"/>
    <col min="8218" max="8218" width="11.5703125" style="36" customWidth="1"/>
    <col min="8219" max="8219" width="6.42578125" style="36" customWidth="1"/>
    <col min="8220" max="8447" width="9.140625" style="36"/>
    <col min="8448" max="8448" width="6.140625" style="36" customWidth="1"/>
    <col min="8449" max="8449" width="9.42578125" style="36" customWidth="1"/>
    <col min="8450" max="8450" width="12.140625" style="36" customWidth="1"/>
    <col min="8451" max="8451" width="8.85546875" style="36" bestFit="1" customWidth="1"/>
    <col min="8452" max="8452" width="9.42578125" style="36" customWidth="1"/>
    <col min="8453" max="8453" width="11.5703125" style="36" customWidth="1"/>
    <col min="8454" max="8454" width="5.42578125" style="36" customWidth="1"/>
    <col min="8455" max="8455" width="9.42578125" style="36" customWidth="1"/>
    <col min="8456" max="8456" width="11.5703125" style="36" customWidth="1"/>
    <col min="8457" max="8457" width="5.42578125" style="36" customWidth="1"/>
    <col min="8458" max="8458" width="9.42578125" style="36" customWidth="1"/>
    <col min="8459" max="8459" width="11.5703125" style="36" customWidth="1"/>
    <col min="8460" max="8460" width="5.42578125" style="36" customWidth="1"/>
    <col min="8461" max="8461" width="9.42578125" style="36" customWidth="1"/>
    <col min="8462" max="8462" width="11.5703125" style="36" customWidth="1"/>
    <col min="8463" max="8463" width="5.42578125" style="36" customWidth="1"/>
    <col min="8464" max="8464" width="9.42578125" style="36" customWidth="1"/>
    <col min="8465" max="8465" width="11.5703125" style="36" customWidth="1"/>
    <col min="8466" max="8466" width="5.42578125" style="36" customWidth="1"/>
    <col min="8467" max="8467" width="9.42578125" style="36" customWidth="1"/>
    <col min="8468" max="8468" width="11.5703125" style="36" customWidth="1"/>
    <col min="8469" max="8469" width="5.42578125" style="36" customWidth="1"/>
    <col min="8470" max="8470" width="9.42578125" style="36" customWidth="1"/>
    <col min="8471" max="8471" width="11.5703125" style="36" customWidth="1"/>
    <col min="8472" max="8472" width="8.5703125" style="36" bestFit="1" customWidth="1"/>
    <col min="8473" max="8473" width="9.42578125" style="36" customWidth="1"/>
    <col min="8474" max="8474" width="11.5703125" style="36" customWidth="1"/>
    <col min="8475" max="8475" width="6.42578125" style="36" customWidth="1"/>
    <col min="8476" max="8703" width="9.140625" style="36"/>
    <col min="8704" max="8704" width="6.140625" style="36" customWidth="1"/>
    <col min="8705" max="8705" width="9.42578125" style="36" customWidth="1"/>
    <col min="8706" max="8706" width="12.140625" style="36" customWidth="1"/>
    <col min="8707" max="8707" width="8.85546875" style="36" bestFit="1" customWidth="1"/>
    <col min="8708" max="8708" width="9.42578125" style="36" customWidth="1"/>
    <col min="8709" max="8709" width="11.5703125" style="36" customWidth="1"/>
    <col min="8710" max="8710" width="5.42578125" style="36" customWidth="1"/>
    <col min="8711" max="8711" width="9.42578125" style="36" customWidth="1"/>
    <col min="8712" max="8712" width="11.5703125" style="36" customWidth="1"/>
    <col min="8713" max="8713" width="5.42578125" style="36" customWidth="1"/>
    <col min="8714" max="8714" width="9.42578125" style="36" customWidth="1"/>
    <col min="8715" max="8715" width="11.5703125" style="36" customWidth="1"/>
    <col min="8716" max="8716" width="5.42578125" style="36" customWidth="1"/>
    <col min="8717" max="8717" width="9.42578125" style="36" customWidth="1"/>
    <col min="8718" max="8718" width="11.5703125" style="36" customWidth="1"/>
    <col min="8719" max="8719" width="5.42578125" style="36" customWidth="1"/>
    <col min="8720" max="8720" width="9.42578125" style="36" customWidth="1"/>
    <col min="8721" max="8721" width="11.5703125" style="36" customWidth="1"/>
    <col min="8722" max="8722" width="5.42578125" style="36" customWidth="1"/>
    <col min="8723" max="8723" width="9.42578125" style="36" customWidth="1"/>
    <col min="8724" max="8724" width="11.5703125" style="36" customWidth="1"/>
    <col min="8725" max="8725" width="5.42578125" style="36" customWidth="1"/>
    <col min="8726" max="8726" width="9.42578125" style="36" customWidth="1"/>
    <col min="8727" max="8727" width="11.5703125" style="36" customWidth="1"/>
    <col min="8728" max="8728" width="8.5703125" style="36" bestFit="1" customWidth="1"/>
    <col min="8729" max="8729" width="9.42578125" style="36" customWidth="1"/>
    <col min="8730" max="8730" width="11.5703125" style="36" customWidth="1"/>
    <col min="8731" max="8731" width="6.42578125" style="36" customWidth="1"/>
    <col min="8732" max="8959" width="9.140625" style="36"/>
    <col min="8960" max="8960" width="6.140625" style="36" customWidth="1"/>
    <col min="8961" max="8961" width="9.42578125" style="36" customWidth="1"/>
    <col min="8962" max="8962" width="12.140625" style="36" customWidth="1"/>
    <col min="8963" max="8963" width="8.85546875" style="36" bestFit="1" customWidth="1"/>
    <col min="8964" max="8964" width="9.42578125" style="36" customWidth="1"/>
    <col min="8965" max="8965" width="11.5703125" style="36" customWidth="1"/>
    <col min="8966" max="8966" width="5.42578125" style="36" customWidth="1"/>
    <col min="8967" max="8967" width="9.42578125" style="36" customWidth="1"/>
    <col min="8968" max="8968" width="11.5703125" style="36" customWidth="1"/>
    <col min="8969" max="8969" width="5.42578125" style="36" customWidth="1"/>
    <col min="8970" max="8970" width="9.42578125" style="36" customWidth="1"/>
    <col min="8971" max="8971" width="11.5703125" style="36" customWidth="1"/>
    <col min="8972" max="8972" width="5.42578125" style="36" customWidth="1"/>
    <col min="8973" max="8973" width="9.42578125" style="36" customWidth="1"/>
    <col min="8974" max="8974" width="11.5703125" style="36" customWidth="1"/>
    <col min="8975" max="8975" width="5.42578125" style="36" customWidth="1"/>
    <col min="8976" max="8976" width="9.42578125" style="36" customWidth="1"/>
    <col min="8977" max="8977" width="11.5703125" style="36" customWidth="1"/>
    <col min="8978" max="8978" width="5.42578125" style="36" customWidth="1"/>
    <col min="8979" max="8979" width="9.42578125" style="36" customWidth="1"/>
    <col min="8980" max="8980" width="11.5703125" style="36" customWidth="1"/>
    <col min="8981" max="8981" width="5.42578125" style="36" customWidth="1"/>
    <col min="8982" max="8982" width="9.42578125" style="36" customWidth="1"/>
    <col min="8983" max="8983" width="11.5703125" style="36" customWidth="1"/>
    <col min="8984" max="8984" width="8.5703125" style="36" bestFit="1" customWidth="1"/>
    <col min="8985" max="8985" width="9.42578125" style="36" customWidth="1"/>
    <col min="8986" max="8986" width="11.5703125" style="36" customWidth="1"/>
    <col min="8987" max="8987" width="6.42578125" style="36" customWidth="1"/>
    <col min="8988" max="9215" width="9.140625" style="36"/>
    <col min="9216" max="9216" width="6.140625" style="36" customWidth="1"/>
    <col min="9217" max="9217" width="9.42578125" style="36" customWidth="1"/>
    <col min="9218" max="9218" width="12.140625" style="36" customWidth="1"/>
    <col min="9219" max="9219" width="8.85546875" style="36" bestFit="1" customWidth="1"/>
    <col min="9220" max="9220" width="9.42578125" style="36" customWidth="1"/>
    <col min="9221" max="9221" width="11.5703125" style="36" customWidth="1"/>
    <col min="9222" max="9222" width="5.42578125" style="36" customWidth="1"/>
    <col min="9223" max="9223" width="9.42578125" style="36" customWidth="1"/>
    <col min="9224" max="9224" width="11.5703125" style="36" customWidth="1"/>
    <col min="9225" max="9225" width="5.42578125" style="36" customWidth="1"/>
    <col min="9226" max="9226" width="9.42578125" style="36" customWidth="1"/>
    <col min="9227" max="9227" width="11.5703125" style="36" customWidth="1"/>
    <col min="9228" max="9228" width="5.42578125" style="36" customWidth="1"/>
    <col min="9229" max="9229" width="9.42578125" style="36" customWidth="1"/>
    <col min="9230" max="9230" width="11.5703125" style="36" customWidth="1"/>
    <col min="9231" max="9231" width="5.42578125" style="36" customWidth="1"/>
    <col min="9232" max="9232" width="9.42578125" style="36" customWidth="1"/>
    <col min="9233" max="9233" width="11.5703125" style="36" customWidth="1"/>
    <col min="9234" max="9234" width="5.42578125" style="36" customWidth="1"/>
    <col min="9235" max="9235" width="9.42578125" style="36" customWidth="1"/>
    <col min="9236" max="9236" width="11.5703125" style="36" customWidth="1"/>
    <col min="9237" max="9237" width="5.42578125" style="36" customWidth="1"/>
    <col min="9238" max="9238" width="9.42578125" style="36" customWidth="1"/>
    <col min="9239" max="9239" width="11.5703125" style="36" customWidth="1"/>
    <col min="9240" max="9240" width="8.5703125" style="36" bestFit="1" customWidth="1"/>
    <col min="9241" max="9241" width="9.42578125" style="36" customWidth="1"/>
    <col min="9242" max="9242" width="11.5703125" style="36" customWidth="1"/>
    <col min="9243" max="9243" width="6.42578125" style="36" customWidth="1"/>
    <col min="9244" max="9471" width="9.140625" style="36"/>
    <col min="9472" max="9472" width="6.140625" style="36" customWidth="1"/>
    <col min="9473" max="9473" width="9.42578125" style="36" customWidth="1"/>
    <col min="9474" max="9474" width="12.140625" style="36" customWidth="1"/>
    <col min="9475" max="9475" width="8.85546875" style="36" bestFit="1" customWidth="1"/>
    <col min="9476" max="9476" width="9.42578125" style="36" customWidth="1"/>
    <col min="9477" max="9477" width="11.5703125" style="36" customWidth="1"/>
    <col min="9478" max="9478" width="5.42578125" style="36" customWidth="1"/>
    <col min="9479" max="9479" width="9.42578125" style="36" customWidth="1"/>
    <col min="9480" max="9480" width="11.5703125" style="36" customWidth="1"/>
    <col min="9481" max="9481" width="5.42578125" style="36" customWidth="1"/>
    <col min="9482" max="9482" width="9.42578125" style="36" customWidth="1"/>
    <col min="9483" max="9483" width="11.5703125" style="36" customWidth="1"/>
    <col min="9484" max="9484" width="5.42578125" style="36" customWidth="1"/>
    <col min="9485" max="9485" width="9.42578125" style="36" customWidth="1"/>
    <col min="9486" max="9486" width="11.5703125" style="36" customWidth="1"/>
    <col min="9487" max="9487" width="5.42578125" style="36" customWidth="1"/>
    <col min="9488" max="9488" width="9.42578125" style="36" customWidth="1"/>
    <col min="9489" max="9489" width="11.5703125" style="36" customWidth="1"/>
    <col min="9490" max="9490" width="5.42578125" style="36" customWidth="1"/>
    <col min="9491" max="9491" width="9.42578125" style="36" customWidth="1"/>
    <col min="9492" max="9492" width="11.5703125" style="36" customWidth="1"/>
    <col min="9493" max="9493" width="5.42578125" style="36" customWidth="1"/>
    <col min="9494" max="9494" width="9.42578125" style="36" customWidth="1"/>
    <col min="9495" max="9495" width="11.5703125" style="36" customWidth="1"/>
    <col min="9496" max="9496" width="8.5703125" style="36" bestFit="1" customWidth="1"/>
    <col min="9497" max="9497" width="9.42578125" style="36" customWidth="1"/>
    <col min="9498" max="9498" width="11.5703125" style="36" customWidth="1"/>
    <col min="9499" max="9499" width="6.42578125" style="36" customWidth="1"/>
    <col min="9500" max="9727" width="9.140625" style="36"/>
    <col min="9728" max="9728" width="6.140625" style="36" customWidth="1"/>
    <col min="9729" max="9729" width="9.42578125" style="36" customWidth="1"/>
    <col min="9730" max="9730" width="12.140625" style="36" customWidth="1"/>
    <col min="9731" max="9731" width="8.85546875" style="36" bestFit="1" customWidth="1"/>
    <col min="9732" max="9732" width="9.42578125" style="36" customWidth="1"/>
    <col min="9733" max="9733" width="11.5703125" style="36" customWidth="1"/>
    <col min="9734" max="9734" width="5.42578125" style="36" customWidth="1"/>
    <col min="9735" max="9735" width="9.42578125" style="36" customWidth="1"/>
    <col min="9736" max="9736" width="11.5703125" style="36" customWidth="1"/>
    <col min="9737" max="9737" width="5.42578125" style="36" customWidth="1"/>
    <col min="9738" max="9738" width="9.42578125" style="36" customWidth="1"/>
    <col min="9739" max="9739" width="11.5703125" style="36" customWidth="1"/>
    <col min="9740" max="9740" width="5.42578125" style="36" customWidth="1"/>
    <col min="9741" max="9741" width="9.42578125" style="36" customWidth="1"/>
    <col min="9742" max="9742" width="11.5703125" style="36" customWidth="1"/>
    <col min="9743" max="9743" width="5.42578125" style="36" customWidth="1"/>
    <col min="9744" max="9744" width="9.42578125" style="36" customWidth="1"/>
    <col min="9745" max="9745" width="11.5703125" style="36" customWidth="1"/>
    <col min="9746" max="9746" width="5.42578125" style="36" customWidth="1"/>
    <col min="9747" max="9747" width="9.42578125" style="36" customWidth="1"/>
    <col min="9748" max="9748" width="11.5703125" style="36" customWidth="1"/>
    <col min="9749" max="9749" width="5.42578125" style="36" customWidth="1"/>
    <col min="9750" max="9750" width="9.42578125" style="36" customWidth="1"/>
    <col min="9751" max="9751" width="11.5703125" style="36" customWidth="1"/>
    <col min="9752" max="9752" width="8.5703125" style="36" bestFit="1" customWidth="1"/>
    <col min="9753" max="9753" width="9.42578125" style="36" customWidth="1"/>
    <col min="9754" max="9754" width="11.5703125" style="36" customWidth="1"/>
    <col min="9755" max="9755" width="6.42578125" style="36" customWidth="1"/>
    <col min="9756" max="9983" width="9.140625" style="36"/>
    <col min="9984" max="9984" width="6.140625" style="36" customWidth="1"/>
    <col min="9985" max="9985" width="9.42578125" style="36" customWidth="1"/>
    <col min="9986" max="9986" width="12.140625" style="36" customWidth="1"/>
    <col min="9987" max="9987" width="8.85546875" style="36" bestFit="1" customWidth="1"/>
    <col min="9988" max="9988" width="9.42578125" style="36" customWidth="1"/>
    <col min="9989" max="9989" width="11.5703125" style="36" customWidth="1"/>
    <col min="9990" max="9990" width="5.42578125" style="36" customWidth="1"/>
    <col min="9991" max="9991" width="9.42578125" style="36" customWidth="1"/>
    <col min="9992" max="9992" width="11.5703125" style="36" customWidth="1"/>
    <col min="9993" max="9993" width="5.42578125" style="36" customWidth="1"/>
    <col min="9994" max="9994" width="9.42578125" style="36" customWidth="1"/>
    <col min="9995" max="9995" width="11.5703125" style="36" customWidth="1"/>
    <col min="9996" max="9996" width="5.42578125" style="36" customWidth="1"/>
    <col min="9997" max="9997" width="9.42578125" style="36" customWidth="1"/>
    <col min="9998" max="9998" width="11.5703125" style="36" customWidth="1"/>
    <col min="9999" max="9999" width="5.42578125" style="36" customWidth="1"/>
    <col min="10000" max="10000" width="9.42578125" style="36" customWidth="1"/>
    <col min="10001" max="10001" width="11.5703125" style="36" customWidth="1"/>
    <col min="10002" max="10002" width="5.42578125" style="36" customWidth="1"/>
    <col min="10003" max="10003" width="9.42578125" style="36" customWidth="1"/>
    <col min="10004" max="10004" width="11.5703125" style="36" customWidth="1"/>
    <col min="10005" max="10005" width="5.42578125" style="36" customWidth="1"/>
    <col min="10006" max="10006" width="9.42578125" style="36" customWidth="1"/>
    <col min="10007" max="10007" width="11.5703125" style="36" customWidth="1"/>
    <col min="10008" max="10008" width="8.5703125" style="36" bestFit="1" customWidth="1"/>
    <col min="10009" max="10009" width="9.42578125" style="36" customWidth="1"/>
    <col min="10010" max="10010" width="11.5703125" style="36" customWidth="1"/>
    <col min="10011" max="10011" width="6.42578125" style="36" customWidth="1"/>
    <col min="10012" max="10239" width="9.140625" style="36"/>
    <col min="10240" max="10240" width="6.140625" style="36" customWidth="1"/>
    <col min="10241" max="10241" width="9.42578125" style="36" customWidth="1"/>
    <col min="10242" max="10242" width="12.140625" style="36" customWidth="1"/>
    <col min="10243" max="10243" width="8.85546875" style="36" bestFit="1" customWidth="1"/>
    <col min="10244" max="10244" width="9.42578125" style="36" customWidth="1"/>
    <col min="10245" max="10245" width="11.5703125" style="36" customWidth="1"/>
    <col min="10246" max="10246" width="5.42578125" style="36" customWidth="1"/>
    <col min="10247" max="10247" width="9.42578125" style="36" customWidth="1"/>
    <col min="10248" max="10248" width="11.5703125" style="36" customWidth="1"/>
    <col min="10249" max="10249" width="5.42578125" style="36" customWidth="1"/>
    <col min="10250" max="10250" width="9.42578125" style="36" customWidth="1"/>
    <col min="10251" max="10251" width="11.5703125" style="36" customWidth="1"/>
    <col min="10252" max="10252" width="5.42578125" style="36" customWidth="1"/>
    <col min="10253" max="10253" width="9.42578125" style="36" customWidth="1"/>
    <col min="10254" max="10254" width="11.5703125" style="36" customWidth="1"/>
    <col min="10255" max="10255" width="5.42578125" style="36" customWidth="1"/>
    <col min="10256" max="10256" width="9.42578125" style="36" customWidth="1"/>
    <col min="10257" max="10257" width="11.5703125" style="36" customWidth="1"/>
    <col min="10258" max="10258" width="5.42578125" style="36" customWidth="1"/>
    <col min="10259" max="10259" width="9.42578125" style="36" customWidth="1"/>
    <col min="10260" max="10260" width="11.5703125" style="36" customWidth="1"/>
    <col min="10261" max="10261" width="5.42578125" style="36" customWidth="1"/>
    <col min="10262" max="10262" width="9.42578125" style="36" customWidth="1"/>
    <col min="10263" max="10263" width="11.5703125" style="36" customWidth="1"/>
    <col min="10264" max="10264" width="8.5703125" style="36" bestFit="1" customWidth="1"/>
    <col min="10265" max="10265" width="9.42578125" style="36" customWidth="1"/>
    <col min="10266" max="10266" width="11.5703125" style="36" customWidth="1"/>
    <col min="10267" max="10267" width="6.42578125" style="36" customWidth="1"/>
    <col min="10268" max="10495" width="9.140625" style="36"/>
    <col min="10496" max="10496" width="6.140625" style="36" customWidth="1"/>
    <col min="10497" max="10497" width="9.42578125" style="36" customWidth="1"/>
    <col min="10498" max="10498" width="12.140625" style="36" customWidth="1"/>
    <col min="10499" max="10499" width="8.85546875" style="36" bestFit="1" customWidth="1"/>
    <col min="10500" max="10500" width="9.42578125" style="36" customWidth="1"/>
    <col min="10501" max="10501" width="11.5703125" style="36" customWidth="1"/>
    <col min="10502" max="10502" width="5.42578125" style="36" customWidth="1"/>
    <col min="10503" max="10503" width="9.42578125" style="36" customWidth="1"/>
    <col min="10504" max="10504" width="11.5703125" style="36" customWidth="1"/>
    <col min="10505" max="10505" width="5.42578125" style="36" customWidth="1"/>
    <col min="10506" max="10506" width="9.42578125" style="36" customWidth="1"/>
    <col min="10507" max="10507" width="11.5703125" style="36" customWidth="1"/>
    <col min="10508" max="10508" width="5.42578125" style="36" customWidth="1"/>
    <col min="10509" max="10509" width="9.42578125" style="36" customWidth="1"/>
    <col min="10510" max="10510" width="11.5703125" style="36" customWidth="1"/>
    <col min="10511" max="10511" width="5.42578125" style="36" customWidth="1"/>
    <col min="10512" max="10512" width="9.42578125" style="36" customWidth="1"/>
    <col min="10513" max="10513" width="11.5703125" style="36" customWidth="1"/>
    <col min="10514" max="10514" width="5.42578125" style="36" customWidth="1"/>
    <col min="10515" max="10515" width="9.42578125" style="36" customWidth="1"/>
    <col min="10516" max="10516" width="11.5703125" style="36" customWidth="1"/>
    <col min="10517" max="10517" width="5.42578125" style="36" customWidth="1"/>
    <col min="10518" max="10518" width="9.42578125" style="36" customWidth="1"/>
    <col min="10519" max="10519" width="11.5703125" style="36" customWidth="1"/>
    <col min="10520" max="10520" width="8.5703125" style="36" bestFit="1" customWidth="1"/>
    <col min="10521" max="10521" width="9.42578125" style="36" customWidth="1"/>
    <col min="10522" max="10522" width="11.5703125" style="36" customWidth="1"/>
    <col min="10523" max="10523" width="6.42578125" style="36" customWidth="1"/>
    <col min="10524" max="10751" width="9.140625" style="36"/>
    <col min="10752" max="10752" width="6.140625" style="36" customWidth="1"/>
    <col min="10753" max="10753" width="9.42578125" style="36" customWidth="1"/>
    <col min="10754" max="10754" width="12.140625" style="36" customWidth="1"/>
    <col min="10755" max="10755" width="8.85546875" style="36" bestFit="1" customWidth="1"/>
    <col min="10756" max="10756" width="9.42578125" style="36" customWidth="1"/>
    <col min="10757" max="10757" width="11.5703125" style="36" customWidth="1"/>
    <col min="10758" max="10758" width="5.42578125" style="36" customWidth="1"/>
    <col min="10759" max="10759" width="9.42578125" style="36" customWidth="1"/>
    <col min="10760" max="10760" width="11.5703125" style="36" customWidth="1"/>
    <col min="10761" max="10761" width="5.42578125" style="36" customWidth="1"/>
    <col min="10762" max="10762" width="9.42578125" style="36" customWidth="1"/>
    <col min="10763" max="10763" width="11.5703125" style="36" customWidth="1"/>
    <col min="10764" max="10764" width="5.42578125" style="36" customWidth="1"/>
    <col min="10765" max="10765" width="9.42578125" style="36" customWidth="1"/>
    <col min="10766" max="10766" width="11.5703125" style="36" customWidth="1"/>
    <col min="10767" max="10767" width="5.42578125" style="36" customWidth="1"/>
    <col min="10768" max="10768" width="9.42578125" style="36" customWidth="1"/>
    <col min="10769" max="10769" width="11.5703125" style="36" customWidth="1"/>
    <col min="10770" max="10770" width="5.42578125" style="36" customWidth="1"/>
    <col min="10771" max="10771" width="9.42578125" style="36" customWidth="1"/>
    <col min="10772" max="10772" width="11.5703125" style="36" customWidth="1"/>
    <col min="10773" max="10773" width="5.42578125" style="36" customWidth="1"/>
    <col min="10774" max="10774" width="9.42578125" style="36" customWidth="1"/>
    <col min="10775" max="10775" width="11.5703125" style="36" customWidth="1"/>
    <col min="10776" max="10776" width="8.5703125" style="36" bestFit="1" customWidth="1"/>
    <col min="10777" max="10777" width="9.42578125" style="36" customWidth="1"/>
    <col min="10778" max="10778" width="11.5703125" style="36" customWidth="1"/>
    <col min="10779" max="10779" width="6.42578125" style="36" customWidth="1"/>
    <col min="10780" max="11007" width="9.140625" style="36"/>
    <col min="11008" max="11008" width="6.140625" style="36" customWidth="1"/>
    <col min="11009" max="11009" width="9.42578125" style="36" customWidth="1"/>
    <col min="11010" max="11010" width="12.140625" style="36" customWidth="1"/>
    <col min="11011" max="11011" width="8.85546875" style="36" bestFit="1" customWidth="1"/>
    <col min="11012" max="11012" width="9.42578125" style="36" customWidth="1"/>
    <col min="11013" max="11013" width="11.5703125" style="36" customWidth="1"/>
    <col min="11014" max="11014" width="5.42578125" style="36" customWidth="1"/>
    <col min="11015" max="11015" width="9.42578125" style="36" customWidth="1"/>
    <col min="11016" max="11016" width="11.5703125" style="36" customWidth="1"/>
    <col min="11017" max="11017" width="5.42578125" style="36" customWidth="1"/>
    <col min="11018" max="11018" width="9.42578125" style="36" customWidth="1"/>
    <col min="11019" max="11019" width="11.5703125" style="36" customWidth="1"/>
    <col min="11020" max="11020" width="5.42578125" style="36" customWidth="1"/>
    <col min="11021" max="11021" width="9.42578125" style="36" customWidth="1"/>
    <col min="11022" max="11022" width="11.5703125" style="36" customWidth="1"/>
    <col min="11023" max="11023" width="5.42578125" style="36" customWidth="1"/>
    <col min="11024" max="11024" width="9.42578125" style="36" customWidth="1"/>
    <col min="11025" max="11025" width="11.5703125" style="36" customWidth="1"/>
    <col min="11026" max="11026" width="5.42578125" style="36" customWidth="1"/>
    <col min="11027" max="11027" width="9.42578125" style="36" customWidth="1"/>
    <col min="11028" max="11028" width="11.5703125" style="36" customWidth="1"/>
    <col min="11029" max="11029" width="5.42578125" style="36" customWidth="1"/>
    <col min="11030" max="11030" width="9.42578125" style="36" customWidth="1"/>
    <col min="11031" max="11031" width="11.5703125" style="36" customWidth="1"/>
    <col min="11032" max="11032" width="8.5703125" style="36" bestFit="1" customWidth="1"/>
    <col min="11033" max="11033" width="9.42578125" style="36" customWidth="1"/>
    <col min="11034" max="11034" width="11.5703125" style="36" customWidth="1"/>
    <col min="11035" max="11035" width="6.42578125" style="36" customWidth="1"/>
    <col min="11036" max="11263" width="9.140625" style="36"/>
    <col min="11264" max="11264" width="6.140625" style="36" customWidth="1"/>
    <col min="11265" max="11265" width="9.42578125" style="36" customWidth="1"/>
    <col min="11266" max="11266" width="12.140625" style="36" customWidth="1"/>
    <col min="11267" max="11267" width="8.85546875" style="36" bestFit="1" customWidth="1"/>
    <col min="11268" max="11268" width="9.42578125" style="36" customWidth="1"/>
    <col min="11269" max="11269" width="11.5703125" style="36" customWidth="1"/>
    <col min="11270" max="11270" width="5.42578125" style="36" customWidth="1"/>
    <col min="11271" max="11271" width="9.42578125" style="36" customWidth="1"/>
    <col min="11272" max="11272" width="11.5703125" style="36" customWidth="1"/>
    <col min="11273" max="11273" width="5.42578125" style="36" customWidth="1"/>
    <col min="11274" max="11274" width="9.42578125" style="36" customWidth="1"/>
    <col min="11275" max="11275" width="11.5703125" style="36" customWidth="1"/>
    <col min="11276" max="11276" width="5.42578125" style="36" customWidth="1"/>
    <col min="11277" max="11277" width="9.42578125" style="36" customWidth="1"/>
    <col min="11278" max="11278" width="11.5703125" style="36" customWidth="1"/>
    <col min="11279" max="11279" width="5.42578125" style="36" customWidth="1"/>
    <col min="11280" max="11280" width="9.42578125" style="36" customWidth="1"/>
    <col min="11281" max="11281" width="11.5703125" style="36" customWidth="1"/>
    <col min="11282" max="11282" width="5.42578125" style="36" customWidth="1"/>
    <col min="11283" max="11283" width="9.42578125" style="36" customWidth="1"/>
    <col min="11284" max="11284" width="11.5703125" style="36" customWidth="1"/>
    <col min="11285" max="11285" width="5.42578125" style="36" customWidth="1"/>
    <col min="11286" max="11286" width="9.42578125" style="36" customWidth="1"/>
    <col min="11287" max="11287" width="11.5703125" style="36" customWidth="1"/>
    <col min="11288" max="11288" width="8.5703125" style="36" bestFit="1" customWidth="1"/>
    <col min="11289" max="11289" width="9.42578125" style="36" customWidth="1"/>
    <col min="11290" max="11290" width="11.5703125" style="36" customWidth="1"/>
    <col min="11291" max="11291" width="6.42578125" style="36" customWidth="1"/>
    <col min="11292" max="11519" width="9.140625" style="36"/>
    <col min="11520" max="11520" width="6.140625" style="36" customWidth="1"/>
    <col min="11521" max="11521" width="9.42578125" style="36" customWidth="1"/>
    <col min="11522" max="11522" width="12.140625" style="36" customWidth="1"/>
    <col min="11523" max="11523" width="8.85546875" style="36" bestFit="1" customWidth="1"/>
    <col min="11524" max="11524" width="9.42578125" style="36" customWidth="1"/>
    <col min="11525" max="11525" width="11.5703125" style="36" customWidth="1"/>
    <col min="11526" max="11526" width="5.42578125" style="36" customWidth="1"/>
    <col min="11527" max="11527" width="9.42578125" style="36" customWidth="1"/>
    <col min="11528" max="11528" width="11.5703125" style="36" customWidth="1"/>
    <col min="11529" max="11529" width="5.42578125" style="36" customWidth="1"/>
    <col min="11530" max="11530" width="9.42578125" style="36" customWidth="1"/>
    <col min="11531" max="11531" width="11.5703125" style="36" customWidth="1"/>
    <col min="11532" max="11532" width="5.42578125" style="36" customWidth="1"/>
    <col min="11533" max="11533" width="9.42578125" style="36" customWidth="1"/>
    <col min="11534" max="11534" width="11.5703125" style="36" customWidth="1"/>
    <col min="11535" max="11535" width="5.42578125" style="36" customWidth="1"/>
    <col min="11536" max="11536" width="9.42578125" style="36" customWidth="1"/>
    <col min="11537" max="11537" width="11.5703125" style="36" customWidth="1"/>
    <col min="11538" max="11538" width="5.42578125" style="36" customWidth="1"/>
    <col min="11539" max="11539" width="9.42578125" style="36" customWidth="1"/>
    <col min="11540" max="11540" width="11.5703125" style="36" customWidth="1"/>
    <col min="11541" max="11541" width="5.42578125" style="36" customWidth="1"/>
    <col min="11542" max="11542" width="9.42578125" style="36" customWidth="1"/>
    <col min="11543" max="11543" width="11.5703125" style="36" customWidth="1"/>
    <col min="11544" max="11544" width="8.5703125" style="36" bestFit="1" customWidth="1"/>
    <col min="11545" max="11545" width="9.42578125" style="36" customWidth="1"/>
    <col min="11546" max="11546" width="11.5703125" style="36" customWidth="1"/>
    <col min="11547" max="11547" width="6.42578125" style="36" customWidth="1"/>
    <col min="11548" max="11775" width="9.140625" style="36"/>
    <col min="11776" max="11776" width="6.140625" style="36" customWidth="1"/>
    <col min="11777" max="11777" width="9.42578125" style="36" customWidth="1"/>
    <col min="11778" max="11778" width="12.140625" style="36" customWidth="1"/>
    <col min="11779" max="11779" width="8.85546875" style="36" bestFit="1" customWidth="1"/>
    <col min="11780" max="11780" width="9.42578125" style="36" customWidth="1"/>
    <col min="11781" max="11781" width="11.5703125" style="36" customWidth="1"/>
    <col min="11782" max="11782" width="5.42578125" style="36" customWidth="1"/>
    <col min="11783" max="11783" width="9.42578125" style="36" customWidth="1"/>
    <col min="11784" max="11784" width="11.5703125" style="36" customWidth="1"/>
    <col min="11785" max="11785" width="5.42578125" style="36" customWidth="1"/>
    <col min="11786" max="11786" width="9.42578125" style="36" customWidth="1"/>
    <col min="11787" max="11787" width="11.5703125" style="36" customWidth="1"/>
    <col min="11788" max="11788" width="5.42578125" style="36" customWidth="1"/>
    <col min="11789" max="11789" width="9.42578125" style="36" customWidth="1"/>
    <col min="11790" max="11790" width="11.5703125" style="36" customWidth="1"/>
    <col min="11791" max="11791" width="5.42578125" style="36" customWidth="1"/>
    <col min="11792" max="11792" width="9.42578125" style="36" customWidth="1"/>
    <col min="11793" max="11793" width="11.5703125" style="36" customWidth="1"/>
    <col min="11794" max="11794" width="5.42578125" style="36" customWidth="1"/>
    <col min="11795" max="11795" width="9.42578125" style="36" customWidth="1"/>
    <col min="11796" max="11796" width="11.5703125" style="36" customWidth="1"/>
    <col min="11797" max="11797" width="5.42578125" style="36" customWidth="1"/>
    <col min="11798" max="11798" width="9.42578125" style="36" customWidth="1"/>
    <col min="11799" max="11799" width="11.5703125" style="36" customWidth="1"/>
    <col min="11800" max="11800" width="8.5703125" style="36" bestFit="1" customWidth="1"/>
    <col min="11801" max="11801" width="9.42578125" style="36" customWidth="1"/>
    <col min="11802" max="11802" width="11.5703125" style="36" customWidth="1"/>
    <col min="11803" max="11803" width="6.42578125" style="36" customWidth="1"/>
    <col min="11804" max="12031" width="9.140625" style="36"/>
    <col min="12032" max="12032" width="6.140625" style="36" customWidth="1"/>
    <col min="12033" max="12033" width="9.42578125" style="36" customWidth="1"/>
    <col min="12034" max="12034" width="12.140625" style="36" customWidth="1"/>
    <col min="12035" max="12035" width="8.85546875" style="36" bestFit="1" customWidth="1"/>
    <col min="12036" max="12036" width="9.42578125" style="36" customWidth="1"/>
    <col min="12037" max="12037" width="11.5703125" style="36" customWidth="1"/>
    <col min="12038" max="12038" width="5.42578125" style="36" customWidth="1"/>
    <col min="12039" max="12039" width="9.42578125" style="36" customWidth="1"/>
    <col min="12040" max="12040" width="11.5703125" style="36" customWidth="1"/>
    <col min="12041" max="12041" width="5.42578125" style="36" customWidth="1"/>
    <col min="12042" max="12042" width="9.42578125" style="36" customWidth="1"/>
    <col min="12043" max="12043" width="11.5703125" style="36" customWidth="1"/>
    <col min="12044" max="12044" width="5.42578125" style="36" customWidth="1"/>
    <col min="12045" max="12045" width="9.42578125" style="36" customWidth="1"/>
    <col min="12046" max="12046" width="11.5703125" style="36" customWidth="1"/>
    <col min="12047" max="12047" width="5.42578125" style="36" customWidth="1"/>
    <col min="12048" max="12048" width="9.42578125" style="36" customWidth="1"/>
    <col min="12049" max="12049" width="11.5703125" style="36" customWidth="1"/>
    <col min="12050" max="12050" width="5.42578125" style="36" customWidth="1"/>
    <col min="12051" max="12051" width="9.42578125" style="36" customWidth="1"/>
    <col min="12052" max="12052" width="11.5703125" style="36" customWidth="1"/>
    <col min="12053" max="12053" width="5.42578125" style="36" customWidth="1"/>
    <col min="12054" max="12054" width="9.42578125" style="36" customWidth="1"/>
    <col min="12055" max="12055" width="11.5703125" style="36" customWidth="1"/>
    <col min="12056" max="12056" width="8.5703125" style="36" bestFit="1" customWidth="1"/>
    <col min="12057" max="12057" width="9.42578125" style="36" customWidth="1"/>
    <col min="12058" max="12058" width="11.5703125" style="36" customWidth="1"/>
    <col min="12059" max="12059" width="6.42578125" style="36" customWidth="1"/>
    <col min="12060" max="12287" width="9.140625" style="36"/>
    <col min="12288" max="12288" width="6.140625" style="36" customWidth="1"/>
    <col min="12289" max="12289" width="9.42578125" style="36" customWidth="1"/>
    <col min="12290" max="12290" width="12.140625" style="36" customWidth="1"/>
    <col min="12291" max="12291" width="8.85546875" style="36" bestFit="1" customWidth="1"/>
    <col min="12292" max="12292" width="9.42578125" style="36" customWidth="1"/>
    <col min="12293" max="12293" width="11.5703125" style="36" customWidth="1"/>
    <col min="12294" max="12294" width="5.42578125" style="36" customWidth="1"/>
    <col min="12295" max="12295" width="9.42578125" style="36" customWidth="1"/>
    <col min="12296" max="12296" width="11.5703125" style="36" customWidth="1"/>
    <col min="12297" max="12297" width="5.42578125" style="36" customWidth="1"/>
    <col min="12298" max="12298" width="9.42578125" style="36" customWidth="1"/>
    <col min="12299" max="12299" width="11.5703125" style="36" customWidth="1"/>
    <col min="12300" max="12300" width="5.42578125" style="36" customWidth="1"/>
    <col min="12301" max="12301" width="9.42578125" style="36" customWidth="1"/>
    <col min="12302" max="12302" width="11.5703125" style="36" customWidth="1"/>
    <col min="12303" max="12303" width="5.42578125" style="36" customWidth="1"/>
    <col min="12304" max="12304" width="9.42578125" style="36" customWidth="1"/>
    <col min="12305" max="12305" width="11.5703125" style="36" customWidth="1"/>
    <col min="12306" max="12306" width="5.42578125" style="36" customWidth="1"/>
    <col min="12307" max="12307" width="9.42578125" style="36" customWidth="1"/>
    <col min="12308" max="12308" width="11.5703125" style="36" customWidth="1"/>
    <col min="12309" max="12309" width="5.42578125" style="36" customWidth="1"/>
    <col min="12310" max="12310" width="9.42578125" style="36" customWidth="1"/>
    <col min="12311" max="12311" width="11.5703125" style="36" customWidth="1"/>
    <col min="12312" max="12312" width="8.5703125" style="36" bestFit="1" customWidth="1"/>
    <col min="12313" max="12313" width="9.42578125" style="36" customWidth="1"/>
    <col min="12314" max="12314" width="11.5703125" style="36" customWidth="1"/>
    <col min="12315" max="12315" width="6.42578125" style="36" customWidth="1"/>
    <col min="12316" max="12543" width="9.140625" style="36"/>
    <col min="12544" max="12544" width="6.140625" style="36" customWidth="1"/>
    <col min="12545" max="12545" width="9.42578125" style="36" customWidth="1"/>
    <col min="12546" max="12546" width="12.140625" style="36" customWidth="1"/>
    <col min="12547" max="12547" width="8.85546875" style="36" bestFit="1" customWidth="1"/>
    <col min="12548" max="12548" width="9.42578125" style="36" customWidth="1"/>
    <col min="12549" max="12549" width="11.5703125" style="36" customWidth="1"/>
    <col min="12550" max="12550" width="5.42578125" style="36" customWidth="1"/>
    <col min="12551" max="12551" width="9.42578125" style="36" customWidth="1"/>
    <col min="12552" max="12552" width="11.5703125" style="36" customWidth="1"/>
    <col min="12553" max="12553" width="5.42578125" style="36" customWidth="1"/>
    <col min="12554" max="12554" width="9.42578125" style="36" customWidth="1"/>
    <col min="12555" max="12555" width="11.5703125" style="36" customWidth="1"/>
    <col min="12556" max="12556" width="5.42578125" style="36" customWidth="1"/>
    <col min="12557" max="12557" width="9.42578125" style="36" customWidth="1"/>
    <col min="12558" max="12558" width="11.5703125" style="36" customWidth="1"/>
    <col min="12559" max="12559" width="5.42578125" style="36" customWidth="1"/>
    <col min="12560" max="12560" width="9.42578125" style="36" customWidth="1"/>
    <col min="12561" max="12561" width="11.5703125" style="36" customWidth="1"/>
    <col min="12562" max="12562" width="5.42578125" style="36" customWidth="1"/>
    <col min="12563" max="12563" width="9.42578125" style="36" customWidth="1"/>
    <col min="12564" max="12564" width="11.5703125" style="36" customWidth="1"/>
    <col min="12565" max="12565" width="5.42578125" style="36" customWidth="1"/>
    <col min="12566" max="12566" width="9.42578125" style="36" customWidth="1"/>
    <col min="12567" max="12567" width="11.5703125" style="36" customWidth="1"/>
    <col min="12568" max="12568" width="8.5703125" style="36" bestFit="1" customWidth="1"/>
    <col min="12569" max="12569" width="9.42578125" style="36" customWidth="1"/>
    <col min="12570" max="12570" width="11.5703125" style="36" customWidth="1"/>
    <col min="12571" max="12571" width="6.42578125" style="36" customWidth="1"/>
    <col min="12572" max="12799" width="9.140625" style="36"/>
    <col min="12800" max="12800" width="6.140625" style="36" customWidth="1"/>
    <col min="12801" max="12801" width="9.42578125" style="36" customWidth="1"/>
    <col min="12802" max="12802" width="12.140625" style="36" customWidth="1"/>
    <col min="12803" max="12803" width="8.85546875" style="36" bestFit="1" customWidth="1"/>
    <col min="12804" max="12804" width="9.42578125" style="36" customWidth="1"/>
    <col min="12805" max="12805" width="11.5703125" style="36" customWidth="1"/>
    <col min="12806" max="12806" width="5.42578125" style="36" customWidth="1"/>
    <col min="12807" max="12807" width="9.42578125" style="36" customWidth="1"/>
    <col min="12808" max="12808" width="11.5703125" style="36" customWidth="1"/>
    <col min="12809" max="12809" width="5.42578125" style="36" customWidth="1"/>
    <col min="12810" max="12810" width="9.42578125" style="36" customWidth="1"/>
    <col min="12811" max="12811" width="11.5703125" style="36" customWidth="1"/>
    <col min="12812" max="12812" width="5.42578125" style="36" customWidth="1"/>
    <col min="12813" max="12813" width="9.42578125" style="36" customWidth="1"/>
    <col min="12814" max="12814" width="11.5703125" style="36" customWidth="1"/>
    <col min="12815" max="12815" width="5.42578125" style="36" customWidth="1"/>
    <col min="12816" max="12816" width="9.42578125" style="36" customWidth="1"/>
    <col min="12817" max="12817" width="11.5703125" style="36" customWidth="1"/>
    <col min="12818" max="12818" width="5.42578125" style="36" customWidth="1"/>
    <col min="12819" max="12819" width="9.42578125" style="36" customWidth="1"/>
    <col min="12820" max="12820" width="11.5703125" style="36" customWidth="1"/>
    <col min="12821" max="12821" width="5.42578125" style="36" customWidth="1"/>
    <col min="12822" max="12822" width="9.42578125" style="36" customWidth="1"/>
    <col min="12823" max="12823" width="11.5703125" style="36" customWidth="1"/>
    <col min="12824" max="12824" width="8.5703125" style="36" bestFit="1" customWidth="1"/>
    <col min="12825" max="12825" width="9.42578125" style="36" customWidth="1"/>
    <col min="12826" max="12826" width="11.5703125" style="36" customWidth="1"/>
    <col min="12827" max="12827" width="6.42578125" style="36" customWidth="1"/>
    <col min="12828" max="13055" width="9.140625" style="36"/>
    <col min="13056" max="13056" width="6.140625" style="36" customWidth="1"/>
    <col min="13057" max="13057" width="9.42578125" style="36" customWidth="1"/>
    <col min="13058" max="13058" width="12.140625" style="36" customWidth="1"/>
    <col min="13059" max="13059" width="8.85546875" style="36" bestFit="1" customWidth="1"/>
    <col min="13060" max="13060" width="9.42578125" style="36" customWidth="1"/>
    <col min="13061" max="13061" width="11.5703125" style="36" customWidth="1"/>
    <col min="13062" max="13062" width="5.42578125" style="36" customWidth="1"/>
    <col min="13063" max="13063" width="9.42578125" style="36" customWidth="1"/>
    <col min="13064" max="13064" width="11.5703125" style="36" customWidth="1"/>
    <col min="13065" max="13065" width="5.42578125" style="36" customWidth="1"/>
    <col min="13066" max="13066" width="9.42578125" style="36" customWidth="1"/>
    <col min="13067" max="13067" width="11.5703125" style="36" customWidth="1"/>
    <col min="13068" max="13068" width="5.42578125" style="36" customWidth="1"/>
    <col min="13069" max="13069" width="9.42578125" style="36" customWidth="1"/>
    <col min="13070" max="13070" width="11.5703125" style="36" customWidth="1"/>
    <col min="13071" max="13071" width="5.42578125" style="36" customWidth="1"/>
    <col min="13072" max="13072" width="9.42578125" style="36" customWidth="1"/>
    <col min="13073" max="13073" width="11.5703125" style="36" customWidth="1"/>
    <col min="13074" max="13074" width="5.42578125" style="36" customWidth="1"/>
    <col min="13075" max="13075" width="9.42578125" style="36" customWidth="1"/>
    <col min="13076" max="13076" width="11.5703125" style="36" customWidth="1"/>
    <col min="13077" max="13077" width="5.42578125" style="36" customWidth="1"/>
    <col min="13078" max="13078" width="9.42578125" style="36" customWidth="1"/>
    <col min="13079" max="13079" width="11.5703125" style="36" customWidth="1"/>
    <col min="13080" max="13080" width="8.5703125" style="36" bestFit="1" customWidth="1"/>
    <col min="13081" max="13081" width="9.42578125" style="36" customWidth="1"/>
    <col min="13082" max="13082" width="11.5703125" style="36" customWidth="1"/>
    <col min="13083" max="13083" width="6.42578125" style="36" customWidth="1"/>
    <col min="13084" max="13311" width="9.140625" style="36"/>
    <col min="13312" max="13312" width="6.140625" style="36" customWidth="1"/>
    <col min="13313" max="13313" width="9.42578125" style="36" customWidth="1"/>
    <col min="13314" max="13314" width="12.140625" style="36" customWidth="1"/>
    <col min="13315" max="13315" width="8.85546875" style="36" bestFit="1" customWidth="1"/>
    <col min="13316" max="13316" width="9.42578125" style="36" customWidth="1"/>
    <col min="13317" max="13317" width="11.5703125" style="36" customWidth="1"/>
    <col min="13318" max="13318" width="5.42578125" style="36" customWidth="1"/>
    <col min="13319" max="13319" width="9.42578125" style="36" customWidth="1"/>
    <col min="13320" max="13320" width="11.5703125" style="36" customWidth="1"/>
    <col min="13321" max="13321" width="5.42578125" style="36" customWidth="1"/>
    <col min="13322" max="13322" width="9.42578125" style="36" customWidth="1"/>
    <col min="13323" max="13323" width="11.5703125" style="36" customWidth="1"/>
    <col min="13324" max="13324" width="5.42578125" style="36" customWidth="1"/>
    <col min="13325" max="13325" width="9.42578125" style="36" customWidth="1"/>
    <col min="13326" max="13326" width="11.5703125" style="36" customWidth="1"/>
    <col min="13327" max="13327" width="5.42578125" style="36" customWidth="1"/>
    <col min="13328" max="13328" width="9.42578125" style="36" customWidth="1"/>
    <col min="13329" max="13329" width="11.5703125" style="36" customWidth="1"/>
    <col min="13330" max="13330" width="5.42578125" style="36" customWidth="1"/>
    <col min="13331" max="13331" width="9.42578125" style="36" customWidth="1"/>
    <col min="13332" max="13332" width="11.5703125" style="36" customWidth="1"/>
    <col min="13333" max="13333" width="5.42578125" style="36" customWidth="1"/>
    <col min="13334" max="13334" width="9.42578125" style="36" customWidth="1"/>
    <col min="13335" max="13335" width="11.5703125" style="36" customWidth="1"/>
    <col min="13336" max="13336" width="8.5703125" style="36" bestFit="1" customWidth="1"/>
    <col min="13337" max="13337" width="9.42578125" style="36" customWidth="1"/>
    <col min="13338" max="13338" width="11.5703125" style="36" customWidth="1"/>
    <col min="13339" max="13339" width="6.42578125" style="36" customWidth="1"/>
    <col min="13340" max="13567" width="9.140625" style="36"/>
    <col min="13568" max="13568" width="6.140625" style="36" customWidth="1"/>
    <col min="13569" max="13569" width="9.42578125" style="36" customWidth="1"/>
    <col min="13570" max="13570" width="12.140625" style="36" customWidth="1"/>
    <col min="13571" max="13571" width="8.85546875" style="36" bestFit="1" customWidth="1"/>
    <col min="13572" max="13572" width="9.42578125" style="36" customWidth="1"/>
    <col min="13573" max="13573" width="11.5703125" style="36" customWidth="1"/>
    <col min="13574" max="13574" width="5.42578125" style="36" customWidth="1"/>
    <col min="13575" max="13575" width="9.42578125" style="36" customWidth="1"/>
    <col min="13576" max="13576" width="11.5703125" style="36" customWidth="1"/>
    <col min="13577" max="13577" width="5.42578125" style="36" customWidth="1"/>
    <col min="13578" max="13578" width="9.42578125" style="36" customWidth="1"/>
    <col min="13579" max="13579" width="11.5703125" style="36" customWidth="1"/>
    <col min="13580" max="13580" width="5.42578125" style="36" customWidth="1"/>
    <col min="13581" max="13581" width="9.42578125" style="36" customWidth="1"/>
    <col min="13582" max="13582" width="11.5703125" style="36" customWidth="1"/>
    <col min="13583" max="13583" width="5.42578125" style="36" customWidth="1"/>
    <col min="13584" max="13584" width="9.42578125" style="36" customWidth="1"/>
    <col min="13585" max="13585" width="11.5703125" style="36" customWidth="1"/>
    <col min="13586" max="13586" width="5.42578125" style="36" customWidth="1"/>
    <col min="13587" max="13587" width="9.42578125" style="36" customWidth="1"/>
    <col min="13588" max="13588" width="11.5703125" style="36" customWidth="1"/>
    <col min="13589" max="13589" width="5.42578125" style="36" customWidth="1"/>
    <col min="13590" max="13590" width="9.42578125" style="36" customWidth="1"/>
    <col min="13591" max="13591" width="11.5703125" style="36" customWidth="1"/>
    <col min="13592" max="13592" width="8.5703125" style="36" bestFit="1" customWidth="1"/>
    <col min="13593" max="13593" width="9.42578125" style="36" customWidth="1"/>
    <col min="13594" max="13594" width="11.5703125" style="36" customWidth="1"/>
    <col min="13595" max="13595" width="6.42578125" style="36" customWidth="1"/>
    <col min="13596" max="13823" width="9.140625" style="36"/>
    <col min="13824" max="13824" width="6.140625" style="36" customWidth="1"/>
    <col min="13825" max="13825" width="9.42578125" style="36" customWidth="1"/>
    <col min="13826" max="13826" width="12.140625" style="36" customWidth="1"/>
    <col min="13827" max="13827" width="8.85546875" style="36" bestFit="1" customWidth="1"/>
    <col min="13828" max="13828" width="9.42578125" style="36" customWidth="1"/>
    <col min="13829" max="13829" width="11.5703125" style="36" customWidth="1"/>
    <col min="13830" max="13830" width="5.42578125" style="36" customWidth="1"/>
    <col min="13831" max="13831" width="9.42578125" style="36" customWidth="1"/>
    <col min="13832" max="13832" width="11.5703125" style="36" customWidth="1"/>
    <col min="13833" max="13833" width="5.42578125" style="36" customWidth="1"/>
    <col min="13834" max="13834" width="9.42578125" style="36" customWidth="1"/>
    <col min="13835" max="13835" width="11.5703125" style="36" customWidth="1"/>
    <col min="13836" max="13836" width="5.42578125" style="36" customWidth="1"/>
    <col min="13837" max="13837" width="9.42578125" style="36" customWidth="1"/>
    <col min="13838" max="13838" width="11.5703125" style="36" customWidth="1"/>
    <col min="13839" max="13839" width="5.42578125" style="36" customWidth="1"/>
    <col min="13840" max="13840" width="9.42578125" style="36" customWidth="1"/>
    <col min="13841" max="13841" width="11.5703125" style="36" customWidth="1"/>
    <col min="13842" max="13842" width="5.42578125" style="36" customWidth="1"/>
    <col min="13843" max="13843" width="9.42578125" style="36" customWidth="1"/>
    <col min="13844" max="13844" width="11.5703125" style="36" customWidth="1"/>
    <col min="13845" max="13845" width="5.42578125" style="36" customWidth="1"/>
    <col min="13846" max="13846" width="9.42578125" style="36" customWidth="1"/>
    <col min="13847" max="13847" width="11.5703125" style="36" customWidth="1"/>
    <col min="13848" max="13848" width="8.5703125" style="36" bestFit="1" customWidth="1"/>
    <col min="13849" max="13849" width="9.42578125" style="36" customWidth="1"/>
    <col min="13850" max="13850" width="11.5703125" style="36" customWidth="1"/>
    <col min="13851" max="13851" width="6.42578125" style="36" customWidth="1"/>
    <col min="13852" max="14079" width="9.140625" style="36"/>
    <col min="14080" max="14080" width="6.140625" style="36" customWidth="1"/>
    <col min="14081" max="14081" width="9.42578125" style="36" customWidth="1"/>
    <col min="14082" max="14082" width="12.140625" style="36" customWidth="1"/>
    <col min="14083" max="14083" width="8.85546875" style="36" bestFit="1" customWidth="1"/>
    <col min="14084" max="14084" width="9.42578125" style="36" customWidth="1"/>
    <col min="14085" max="14085" width="11.5703125" style="36" customWidth="1"/>
    <col min="14086" max="14086" width="5.42578125" style="36" customWidth="1"/>
    <col min="14087" max="14087" width="9.42578125" style="36" customWidth="1"/>
    <col min="14088" max="14088" width="11.5703125" style="36" customWidth="1"/>
    <col min="14089" max="14089" width="5.42578125" style="36" customWidth="1"/>
    <col min="14090" max="14090" width="9.42578125" style="36" customWidth="1"/>
    <col min="14091" max="14091" width="11.5703125" style="36" customWidth="1"/>
    <col min="14092" max="14092" width="5.42578125" style="36" customWidth="1"/>
    <col min="14093" max="14093" width="9.42578125" style="36" customWidth="1"/>
    <col min="14094" max="14094" width="11.5703125" style="36" customWidth="1"/>
    <col min="14095" max="14095" width="5.42578125" style="36" customWidth="1"/>
    <col min="14096" max="14096" width="9.42578125" style="36" customWidth="1"/>
    <col min="14097" max="14097" width="11.5703125" style="36" customWidth="1"/>
    <col min="14098" max="14098" width="5.42578125" style="36" customWidth="1"/>
    <col min="14099" max="14099" width="9.42578125" style="36" customWidth="1"/>
    <col min="14100" max="14100" width="11.5703125" style="36" customWidth="1"/>
    <col min="14101" max="14101" width="5.42578125" style="36" customWidth="1"/>
    <col min="14102" max="14102" width="9.42578125" style="36" customWidth="1"/>
    <col min="14103" max="14103" width="11.5703125" style="36" customWidth="1"/>
    <col min="14104" max="14104" width="8.5703125" style="36" bestFit="1" customWidth="1"/>
    <col min="14105" max="14105" width="9.42578125" style="36" customWidth="1"/>
    <col min="14106" max="14106" width="11.5703125" style="36" customWidth="1"/>
    <col min="14107" max="14107" width="6.42578125" style="36" customWidth="1"/>
    <col min="14108" max="14335" width="9.140625" style="36"/>
    <col min="14336" max="14336" width="6.140625" style="36" customWidth="1"/>
    <col min="14337" max="14337" width="9.42578125" style="36" customWidth="1"/>
    <col min="14338" max="14338" width="12.140625" style="36" customWidth="1"/>
    <col min="14339" max="14339" width="8.85546875" style="36" bestFit="1" customWidth="1"/>
    <col min="14340" max="14340" width="9.42578125" style="36" customWidth="1"/>
    <col min="14341" max="14341" width="11.5703125" style="36" customWidth="1"/>
    <col min="14342" max="14342" width="5.42578125" style="36" customWidth="1"/>
    <col min="14343" max="14343" width="9.42578125" style="36" customWidth="1"/>
    <col min="14344" max="14344" width="11.5703125" style="36" customWidth="1"/>
    <col min="14345" max="14345" width="5.42578125" style="36" customWidth="1"/>
    <col min="14346" max="14346" width="9.42578125" style="36" customWidth="1"/>
    <col min="14347" max="14347" width="11.5703125" style="36" customWidth="1"/>
    <col min="14348" max="14348" width="5.42578125" style="36" customWidth="1"/>
    <col min="14349" max="14349" width="9.42578125" style="36" customWidth="1"/>
    <col min="14350" max="14350" width="11.5703125" style="36" customWidth="1"/>
    <col min="14351" max="14351" width="5.42578125" style="36" customWidth="1"/>
    <col min="14352" max="14352" width="9.42578125" style="36" customWidth="1"/>
    <col min="14353" max="14353" width="11.5703125" style="36" customWidth="1"/>
    <col min="14354" max="14354" width="5.42578125" style="36" customWidth="1"/>
    <col min="14355" max="14355" width="9.42578125" style="36" customWidth="1"/>
    <col min="14356" max="14356" width="11.5703125" style="36" customWidth="1"/>
    <col min="14357" max="14357" width="5.42578125" style="36" customWidth="1"/>
    <col min="14358" max="14358" width="9.42578125" style="36" customWidth="1"/>
    <col min="14359" max="14359" width="11.5703125" style="36" customWidth="1"/>
    <col min="14360" max="14360" width="8.5703125" style="36" bestFit="1" customWidth="1"/>
    <col min="14361" max="14361" width="9.42578125" style="36" customWidth="1"/>
    <col min="14362" max="14362" width="11.5703125" style="36" customWidth="1"/>
    <col min="14363" max="14363" width="6.42578125" style="36" customWidth="1"/>
    <col min="14364" max="14591" width="9.140625" style="36"/>
    <col min="14592" max="14592" width="6.140625" style="36" customWidth="1"/>
    <col min="14593" max="14593" width="9.42578125" style="36" customWidth="1"/>
    <col min="14594" max="14594" width="12.140625" style="36" customWidth="1"/>
    <col min="14595" max="14595" width="8.85546875" style="36" bestFit="1" customWidth="1"/>
    <col min="14596" max="14596" width="9.42578125" style="36" customWidth="1"/>
    <col min="14597" max="14597" width="11.5703125" style="36" customWidth="1"/>
    <col min="14598" max="14598" width="5.42578125" style="36" customWidth="1"/>
    <col min="14599" max="14599" width="9.42578125" style="36" customWidth="1"/>
    <col min="14600" max="14600" width="11.5703125" style="36" customWidth="1"/>
    <col min="14601" max="14601" width="5.42578125" style="36" customWidth="1"/>
    <col min="14602" max="14602" width="9.42578125" style="36" customWidth="1"/>
    <col min="14603" max="14603" width="11.5703125" style="36" customWidth="1"/>
    <col min="14604" max="14604" width="5.42578125" style="36" customWidth="1"/>
    <col min="14605" max="14605" width="9.42578125" style="36" customWidth="1"/>
    <col min="14606" max="14606" width="11.5703125" style="36" customWidth="1"/>
    <col min="14607" max="14607" width="5.42578125" style="36" customWidth="1"/>
    <col min="14608" max="14608" width="9.42578125" style="36" customWidth="1"/>
    <col min="14609" max="14609" width="11.5703125" style="36" customWidth="1"/>
    <col min="14610" max="14610" width="5.42578125" style="36" customWidth="1"/>
    <col min="14611" max="14611" width="9.42578125" style="36" customWidth="1"/>
    <col min="14612" max="14612" width="11.5703125" style="36" customWidth="1"/>
    <col min="14613" max="14613" width="5.42578125" style="36" customWidth="1"/>
    <col min="14614" max="14614" width="9.42578125" style="36" customWidth="1"/>
    <col min="14615" max="14615" width="11.5703125" style="36" customWidth="1"/>
    <col min="14616" max="14616" width="8.5703125" style="36" bestFit="1" customWidth="1"/>
    <col min="14617" max="14617" width="9.42578125" style="36" customWidth="1"/>
    <col min="14618" max="14618" width="11.5703125" style="36" customWidth="1"/>
    <col min="14619" max="14619" width="6.42578125" style="36" customWidth="1"/>
    <col min="14620" max="14847" width="9.140625" style="36"/>
    <col min="14848" max="14848" width="6.140625" style="36" customWidth="1"/>
    <col min="14849" max="14849" width="9.42578125" style="36" customWidth="1"/>
    <col min="14850" max="14850" width="12.140625" style="36" customWidth="1"/>
    <col min="14851" max="14851" width="8.85546875" style="36" bestFit="1" customWidth="1"/>
    <col min="14852" max="14852" width="9.42578125" style="36" customWidth="1"/>
    <col min="14853" max="14853" width="11.5703125" style="36" customWidth="1"/>
    <col min="14854" max="14854" width="5.42578125" style="36" customWidth="1"/>
    <col min="14855" max="14855" width="9.42578125" style="36" customWidth="1"/>
    <col min="14856" max="14856" width="11.5703125" style="36" customWidth="1"/>
    <col min="14857" max="14857" width="5.42578125" style="36" customWidth="1"/>
    <col min="14858" max="14858" width="9.42578125" style="36" customWidth="1"/>
    <col min="14859" max="14859" width="11.5703125" style="36" customWidth="1"/>
    <col min="14860" max="14860" width="5.42578125" style="36" customWidth="1"/>
    <col min="14861" max="14861" width="9.42578125" style="36" customWidth="1"/>
    <col min="14862" max="14862" width="11.5703125" style="36" customWidth="1"/>
    <col min="14863" max="14863" width="5.42578125" style="36" customWidth="1"/>
    <col min="14864" max="14864" width="9.42578125" style="36" customWidth="1"/>
    <col min="14865" max="14865" width="11.5703125" style="36" customWidth="1"/>
    <col min="14866" max="14866" width="5.42578125" style="36" customWidth="1"/>
    <col min="14867" max="14867" width="9.42578125" style="36" customWidth="1"/>
    <col min="14868" max="14868" width="11.5703125" style="36" customWidth="1"/>
    <col min="14869" max="14869" width="5.42578125" style="36" customWidth="1"/>
    <col min="14870" max="14870" width="9.42578125" style="36" customWidth="1"/>
    <col min="14871" max="14871" width="11.5703125" style="36" customWidth="1"/>
    <col min="14872" max="14872" width="8.5703125" style="36" bestFit="1" customWidth="1"/>
    <col min="14873" max="14873" width="9.42578125" style="36" customWidth="1"/>
    <col min="14874" max="14874" width="11.5703125" style="36" customWidth="1"/>
    <col min="14875" max="14875" width="6.42578125" style="36" customWidth="1"/>
    <col min="14876" max="15103" width="9.140625" style="36"/>
    <col min="15104" max="15104" width="6.140625" style="36" customWidth="1"/>
    <col min="15105" max="15105" width="9.42578125" style="36" customWidth="1"/>
    <col min="15106" max="15106" width="12.140625" style="36" customWidth="1"/>
    <col min="15107" max="15107" width="8.85546875" style="36" bestFit="1" customWidth="1"/>
    <col min="15108" max="15108" width="9.42578125" style="36" customWidth="1"/>
    <col min="15109" max="15109" width="11.5703125" style="36" customWidth="1"/>
    <col min="15110" max="15110" width="5.42578125" style="36" customWidth="1"/>
    <col min="15111" max="15111" width="9.42578125" style="36" customWidth="1"/>
    <col min="15112" max="15112" width="11.5703125" style="36" customWidth="1"/>
    <col min="15113" max="15113" width="5.42578125" style="36" customWidth="1"/>
    <col min="15114" max="15114" width="9.42578125" style="36" customWidth="1"/>
    <col min="15115" max="15115" width="11.5703125" style="36" customWidth="1"/>
    <col min="15116" max="15116" width="5.42578125" style="36" customWidth="1"/>
    <col min="15117" max="15117" width="9.42578125" style="36" customWidth="1"/>
    <col min="15118" max="15118" width="11.5703125" style="36" customWidth="1"/>
    <col min="15119" max="15119" width="5.42578125" style="36" customWidth="1"/>
    <col min="15120" max="15120" width="9.42578125" style="36" customWidth="1"/>
    <col min="15121" max="15121" width="11.5703125" style="36" customWidth="1"/>
    <col min="15122" max="15122" width="5.42578125" style="36" customWidth="1"/>
    <col min="15123" max="15123" width="9.42578125" style="36" customWidth="1"/>
    <col min="15124" max="15124" width="11.5703125" style="36" customWidth="1"/>
    <col min="15125" max="15125" width="5.42578125" style="36" customWidth="1"/>
    <col min="15126" max="15126" width="9.42578125" style="36" customWidth="1"/>
    <col min="15127" max="15127" width="11.5703125" style="36" customWidth="1"/>
    <col min="15128" max="15128" width="8.5703125" style="36" bestFit="1" customWidth="1"/>
    <col min="15129" max="15129" width="9.42578125" style="36" customWidth="1"/>
    <col min="15130" max="15130" width="11.5703125" style="36" customWidth="1"/>
    <col min="15131" max="15131" width="6.42578125" style="36" customWidth="1"/>
    <col min="15132" max="15359" width="9.140625" style="36"/>
    <col min="15360" max="15360" width="6.140625" style="36" customWidth="1"/>
    <col min="15361" max="15361" width="9.42578125" style="36" customWidth="1"/>
    <col min="15362" max="15362" width="12.140625" style="36" customWidth="1"/>
    <col min="15363" max="15363" width="8.85546875" style="36" bestFit="1" customWidth="1"/>
    <col min="15364" max="15364" width="9.42578125" style="36" customWidth="1"/>
    <col min="15365" max="15365" width="11.5703125" style="36" customWidth="1"/>
    <col min="15366" max="15366" width="5.42578125" style="36" customWidth="1"/>
    <col min="15367" max="15367" width="9.42578125" style="36" customWidth="1"/>
    <col min="15368" max="15368" width="11.5703125" style="36" customWidth="1"/>
    <col min="15369" max="15369" width="5.42578125" style="36" customWidth="1"/>
    <col min="15370" max="15370" width="9.42578125" style="36" customWidth="1"/>
    <col min="15371" max="15371" width="11.5703125" style="36" customWidth="1"/>
    <col min="15372" max="15372" width="5.42578125" style="36" customWidth="1"/>
    <col min="15373" max="15373" width="9.42578125" style="36" customWidth="1"/>
    <col min="15374" max="15374" width="11.5703125" style="36" customWidth="1"/>
    <col min="15375" max="15375" width="5.42578125" style="36" customWidth="1"/>
    <col min="15376" max="15376" width="9.42578125" style="36" customWidth="1"/>
    <col min="15377" max="15377" width="11.5703125" style="36" customWidth="1"/>
    <col min="15378" max="15378" width="5.42578125" style="36" customWidth="1"/>
    <col min="15379" max="15379" width="9.42578125" style="36" customWidth="1"/>
    <col min="15380" max="15380" width="11.5703125" style="36" customWidth="1"/>
    <col min="15381" max="15381" width="5.42578125" style="36" customWidth="1"/>
    <col min="15382" max="15382" width="9.42578125" style="36" customWidth="1"/>
    <col min="15383" max="15383" width="11.5703125" style="36" customWidth="1"/>
    <col min="15384" max="15384" width="8.5703125" style="36" bestFit="1" customWidth="1"/>
    <col min="15385" max="15385" width="9.42578125" style="36" customWidth="1"/>
    <col min="15386" max="15386" width="11.5703125" style="36" customWidth="1"/>
    <col min="15387" max="15387" width="6.42578125" style="36" customWidth="1"/>
    <col min="15388" max="15615" width="9.140625" style="36"/>
    <col min="15616" max="15616" width="6.140625" style="36" customWidth="1"/>
    <col min="15617" max="15617" width="9.42578125" style="36" customWidth="1"/>
    <col min="15618" max="15618" width="12.140625" style="36" customWidth="1"/>
    <col min="15619" max="15619" width="8.85546875" style="36" bestFit="1" customWidth="1"/>
    <col min="15620" max="15620" width="9.42578125" style="36" customWidth="1"/>
    <col min="15621" max="15621" width="11.5703125" style="36" customWidth="1"/>
    <col min="15622" max="15622" width="5.42578125" style="36" customWidth="1"/>
    <col min="15623" max="15623" width="9.42578125" style="36" customWidth="1"/>
    <col min="15624" max="15624" width="11.5703125" style="36" customWidth="1"/>
    <col min="15625" max="15625" width="5.42578125" style="36" customWidth="1"/>
    <col min="15626" max="15626" width="9.42578125" style="36" customWidth="1"/>
    <col min="15627" max="15627" width="11.5703125" style="36" customWidth="1"/>
    <col min="15628" max="15628" width="5.42578125" style="36" customWidth="1"/>
    <col min="15629" max="15629" width="9.42578125" style="36" customWidth="1"/>
    <col min="15630" max="15630" width="11.5703125" style="36" customWidth="1"/>
    <col min="15631" max="15631" width="5.42578125" style="36" customWidth="1"/>
    <col min="15632" max="15632" width="9.42578125" style="36" customWidth="1"/>
    <col min="15633" max="15633" width="11.5703125" style="36" customWidth="1"/>
    <col min="15634" max="15634" width="5.42578125" style="36" customWidth="1"/>
    <col min="15635" max="15635" width="9.42578125" style="36" customWidth="1"/>
    <col min="15636" max="15636" width="11.5703125" style="36" customWidth="1"/>
    <col min="15637" max="15637" width="5.42578125" style="36" customWidth="1"/>
    <col min="15638" max="15638" width="9.42578125" style="36" customWidth="1"/>
    <col min="15639" max="15639" width="11.5703125" style="36" customWidth="1"/>
    <col min="15640" max="15640" width="8.5703125" style="36" bestFit="1" customWidth="1"/>
    <col min="15641" max="15641" width="9.42578125" style="36" customWidth="1"/>
    <col min="15642" max="15642" width="11.5703125" style="36" customWidth="1"/>
    <col min="15643" max="15643" width="6.42578125" style="36" customWidth="1"/>
    <col min="15644" max="15871" width="9.140625" style="36"/>
    <col min="15872" max="15872" width="6.140625" style="36" customWidth="1"/>
    <col min="15873" max="15873" width="9.42578125" style="36" customWidth="1"/>
    <col min="15874" max="15874" width="12.140625" style="36" customWidth="1"/>
    <col min="15875" max="15875" width="8.85546875" style="36" bestFit="1" customWidth="1"/>
    <col min="15876" max="15876" width="9.42578125" style="36" customWidth="1"/>
    <col min="15877" max="15877" width="11.5703125" style="36" customWidth="1"/>
    <col min="15878" max="15878" width="5.42578125" style="36" customWidth="1"/>
    <col min="15879" max="15879" width="9.42578125" style="36" customWidth="1"/>
    <col min="15880" max="15880" width="11.5703125" style="36" customWidth="1"/>
    <col min="15881" max="15881" width="5.42578125" style="36" customWidth="1"/>
    <col min="15882" max="15882" width="9.42578125" style="36" customWidth="1"/>
    <col min="15883" max="15883" width="11.5703125" style="36" customWidth="1"/>
    <col min="15884" max="15884" width="5.42578125" style="36" customWidth="1"/>
    <col min="15885" max="15885" width="9.42578125" style="36" customWidth="1"/>
    <col min="15886" max="15886" width="11.5703125" style="36" customWidth="1"/>
    <col min="15887" max="15887" width="5.42578125" style="36" customWidth="1"/>
    <col min="15888" max="15888" width="9.42578125" style="36" customWidth="1"/>
    <col min="15889" max="15889" width="11.5703125" style="36" customWidth="1"/>
    <col min="15890" max="15890" width="5.42578125" style="36" customWidth="1"/>
    <col min="15891" max="15891" width="9.42578125" style="36" customWidth="1"/>
    <col min="15892" max="15892" width="11.5703125" style="36" customWidth="1"/>
    <col min="15893" max="15893" width="5.42578125" style="36" customWidth="1"/>
    <col min="15894" max="15894" width="9.42578125" style="36" customWidth="1"/>
    <col min="15895" max="15895" width="11.5703125" style="36" customWidth="1"/>
    <col min="15896" max="15896" width="8.5703125" style="36" bestFit="1" customWidth="1"/>
    <col min="15897" max="15897" width="9.42578125" style="36" customWidth="1"/>
    <col min="15898" max="15898" width="11.5703125" style="36" customWidth="1"/>
    <col min="15899" max="15899" width="6.42578125" style="36" customWidth="1"/>
    <col min="15900" max="16127" width="9.140625" style="36"/>
    <col min="16128" max="16128" width="6.140625" style="36" customWidth="1"/>
    <col min="16129" max="16129" width="9.42578125" style="36" customWidth="1"/>
    <col min="16130" max="16130" width="12.140625" style="36" customWidth="1"/>
    <col min="16131" max="16131" width="8.85546875" style="36" bestFit="1" customWidth="1"/>
    <col min="16132" max="16132" width="9.42578125" style="36" customWidth="1"/>
    <col min="16133" max="16133" width="11.5703125" style="36" customWidth="1"/>
    <col min="16134" max="16134" width="5.42578125" style="36" customWidth="1"/>
    <col min="16135" max="16135" width="9.42578125" style="36" customWidth="1"/>
    <col min="16136" max="16136" width="11.5703125" style="36" customWidth="1"/>
    <col min="16137" max="16137" width="5.42578125" style="36" customWidth="1"/>
    <col min="16138" max="16138" width="9.42578125" style="36" customWidth="1"/>
    <col min="16139" max="16139" width="11.5703125" style="36" customWidth="1"/>
    <col min="16140" max="16140" width="5.42578125" style="36" customWidth="1"/>
    <col min="16141" max="16141" width="9.42578125" style="36" customWidth="1"/>
    <col min="16142" max="16142" width="11.5703125" style="36" customWidth="1"/>
    <col min="16143" max="16143" width="5.42578125" style="36" customWidth="1"/>
    <col min="16144" max="16144" width="9.42578125" style="36" customWidth="1"/>
    <col min="16145" max="16145" width="11.5703125" style="36" customWidth="1"/>
    <col min="16146" max="16146" width="5.42578125" style="36" customWidth="1"/>
    <col min="16147" max="16147" width="9.42578125" style="36" customWidth="1"/>
    <col min="16148" max="16148" width="11.5703125" style="36" customWidth="1"/>
    <col min="16149" max="16149" width="5.42578125" style="36" customWidth="1"/>
    <col min="16150" max="16150" width="9.42578125" style="36" customWidth="1"/>
    <col min="16151" max="16151" width="11.5703125" style="36" customWidth="1"/>
    <col min="16152" max="16152" width="8.5703125" style="36" bestFit="1" customWidth="1"/>
    <col min="16153" max="16153" width="9.42578125" style="36" customWidth="1"/>
    <col min="16154" max="16154" width="11.5703125" style="36" customWidth="1"/>
    <col min="16155" max="16155" width="6.42578125" style="36" customWidth="1"/>
    <col min="16156" max="16384" width="9.140625" style="36"/>
  </cols>
  <sheetData>
    <row r="1" spans="1:30" s="8" customFormat="1" ht="15" customHeight="1">
      <c r="A1" s="195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</row>
    <row r="2" spans="1:30" s="8" customFormat="1" ht="15" customHeight="1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</row>
    <row r="3" spans="1:30" s="8" customFormat="1" ht="15" customHeight="1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</row>
    <row r="4" spans="1:30" s="8" customFormat="1" ht="15" customHeight="1" thickBot="1">
      <c r="A4" s="196"/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</row>
    <row r="5" spans="1:30" s="10" customFormat="1" ht="19.5" customHeight="1">
      <c r="A5" s="197"/>
      <c r="B5" s="52" t="s">
        <v>0</v>
      </c>
      <c r="C5" s="53"/>
      <c r="D5" s="53"/>
      <c r="E5" s="89"/>
      <c r="F5" s="96" t="s">
        <v>1</v>
      </c>
      <c r="G5" s="91"/>
      <c r="H5" s="52" t="s">
        <v>2</v>
      </c>
      <c r="I5" s="53"/>
      <c r="J5" s="53"/>
      <c r="K5" s="52" t="s">
        <v>3</v>
      </c>
      <c r="L5" s="53"/>
      <c r="M5" s="54"/>
      <c r="N5" s="52" t="s">
        <v>4</v>
      </c>
      <c r="O5" s="53"/>
      <c r="P5" s="54"/>
      <c r="Q5" s="52" t="s">
        <v>5</v>
      </c>
      <c r="R5" s="53"/>
      <c r="S5" s="54"/>
      <c r="T5" s="52" t="s">
        <v>6</v>
      </c>
      <c r="U5" s="53"/>
      <c r="V5" s="54"/>
      <c r="W5" s="55" t="s">
        <v>7</v>
      </c>
      <c r="X5" s="53" t="s">
        <v>162</v>
      </c>
      <c r="Y5" s="56"/>
    </row>
    <row r="6" spans="1:30" s="12" customFormat="1" ht="19.5" customHeight="1">
      <c r="A6" s="198"/>
      <c r="B6" s="57" t="s">
        <v>8</v>
      </c>
      <c r="C6" s="58"/>
      <c r="D6" s="58"/>
      <c r="E6" s="57" t="s">
        <v>9</v>
      </c>
      <c r="F6" s="58"/>
      <c r="G6" s="58"/>
      <c r="H6" s="57" t="s">
        <v>10</v>
      </c>
      <c r="I6" s="58"/>
      <c r="J6" s="58"/>
      <c r="K6" s="57" t="s">
        <v>10</v>
      </c>
      <c r="L6" s="58"/>
      <c r="M6" s="59"/>
      <c r="N6" s="57" t="s">
        <v>11</v>
      </c>
      <c r="O6" s="58"/>
      <c r="P6" s="58"/>
      <c r="Q6" s="57" t="s">
        <v>11</v>
      </c>
      <c r="R6" s="58"/>
      <c r="S6" s="58"/>
      <c r="T6" s="57" t="s">
        <v>12</v>
      </c>
      <c r="U6" s="58"/>
      <c r="V6" s="59"/>
      <c r="W6" s="57" t="s">
        <v>12</v>
      </c>
      <c r="X6" s="58"/>
      <c r="Y6" s="60"/>
    </row>
    <row r="7" spans="1:30" s="14" customFormat="1" ht="19.5" customHeight="1">
      <c r="A7" s="198"/>
      <c r="B7" s="61" t="s">
        <v>159</v>
      </c>
      <c r="C7" s="62" t="s">
        <v>160</v>
      </c>
      <c r="D7" s="62" t="s">
        <v>161</v>
      </c>
      <c r="E7" s="61" t="s">
        <v>159</v>
      </c>
      <c r="F7" s="62" t="s">
        <v>160</v>
      </c>
      <c r="G7" s="62" t="s">
        <v>161</v>
      </c>
      <c r="H7" s="61" t="s">
        <v>159</v>
      </c>
      <c r="I7" s="62" t="s">
        <v>160</v>
      </c>
      <c r="J7" s="62" t="s">
        <v>161</v>
      </c>
      <c r="K7" s="61" t="s">
        <v>159</v>
      </c>
      <c r="L7" s="62" t="s">
        <v>160</v>
      </c>
      <c r="M7" s="63" t="s">
        <v>161</v>
      </c>
      <c r="N7" s="61" t="s">
        <v>159</v>
      </c>
      <c r="O7" s="62" t="s">
        <v>160</v>
      </c>
      <c r="P7" s="63" t="s">
        <v>161</v>
      </c>
      <c r="Q7" s="61" t="s">
        <v>159</v>
      </c>
      <c r="R7" s="62" t="s">
        <v>160</v>
      </c>
      <c r="S7" s="63" t="s">
        <v>161</v>
      </c>
      <c r="T7" s="61" t="s">
        <v>159</v>
      </c>
      <c r="U7" s="62" t="s">
        <v>160</v>
      </c>
      <c r="V7" s="63" t="s">
        <v>161</v>
      </c>
      <c r="W7" s="61" t="s">
        <v>159</v>
      </c>
      <c r="X7" s="62" t="s">
        <v>160</v>
      </c>
      <c r="Y7" s="64" t="s">
        <v>161</v>
      </c>
      <c r="AB7" s="7"/>
    </row>
    <row r="8" spans="1:30" s="8" customFormat="1" ht="18" customHeight="1">
      <c r="A8" s="65" t="s">
        <v>14</v>
      </c>
      <c r="B8" s="129"/>
      <c r="C8" s="67"/>
      <c r="D8" s="68"/>
      <c r="E8" s="129"/>
      <c r="F8" s="67"/>
      <c r="G8" s="68"/>
      <c r="H8" s="129"/>
      <c r="I8" s="67"/>
      <c r="J8" s="68"/>
      <c r="K8" s="129"/>
      <c r="L8" s="67"/>
      <c r="M8" s="69"/>
      <c r="N8" s="129"/>
      <c r="O8" s="70"/>
      <c r="P8" s="69"/>
      <c r="Q8" s="129"/>
      <c r="R8" s="70"/>
      <c r="S8" s="69"/>
      <c r="T8" s="129"/>
      <c r="U8" s="70"/>
      <c r="V8" s="69"/>
      <c r="W8" s="66"/>
      <c r="X8" s="70"/>
      <c r="Y8" s="206"/>
      <c r="Z8" s="12"/>
      <c r="AB8" s="7"/>
      <c r="AC8" s="7"/>
    </row>
    <row r="9" spans="1:30" s="15" customFormat="1" ht="15.75" customHeight="1">
      <c r="A9" s="65" t="s">
        <v>15</v>
      </c>
      <c r="B9" s="66"/>
      <c r="C9" s="70"/>
      <c r="D9" s="68"/>
      <c r="E9" s="66"/>
      <c r="F9" s="70"/>
      <c r="G9" s="68"/>
      <c r="H9" s="66"/>
      <c r="I9" s="70"/>
      <c r="J9" s="68"/>
      <c r="K9" s="66"/>
      <c r="L9" s="70"/>
      <c r="M9" s="69"/>
      <c r="N9" s="66"/>
      <c r="O9" s="70"/>
      <c r="P9" s="69"/>
      <c r="Q9" s="66"/>
      <c r="R9" s="70"/>
      <c r="S9" s="69"/>
      <c r="T9" s="66"/>
      <c r="U9" s="70"/>
      <c r="V9" s="69"/>
      <c r="W9" s="66"/>
      <c r="X9" s="70"/>
      <c r="Y9" s="206"/>
      <c r="Z9" s="71"/>
    </row>
    <row r="10" spans="1:30" s="15" customFormat="1" ht="15.75" customHeight="1">
      <c r="A10" s="65" t="s">
        <v>16</v>
      </c>
      <c r="B10" s="66"/>
      <c r="C10" s="70"/>
      <c r="D10" s="68"/>
      <c r="E10" s="66"/>
      <c r="F10" s="70"/>
      <c r="G10" s="68"/>
      <c r="H10" s="66"/>
      <c r="I10" s="70"/>
      <c r="J10" s="68"/>
      <c r="K10" s="66"/>
      <c r="L10" s="70"/>
      <c r="M10" s="69"/>
      <c r="N10" s="66"/>
      <c r="O10" s="70"/>
      <c r="P10" s="69"/>
      <c r="Q10" s="66"/>
      <c r="R10" s="70"/>
      <c r="S10" s="69"/>
      <c r="T10" s="66"/>
      <c r="U10" s="70"/>
      <c r="V10" s="69"/>
      <c r="W10" s="72"/>
      <c r="X10" s="70"/>
      <c r="Y10" s="207"/>
      <c r="Z10" s="71"/>
    </row>
    <row r="11" spans="1:30" s="15" customFormat="1" ht="15.75" customHeight="1">
      <c r="A11" s="65" t="s">
        <v>17</v>
      </c>
      <c r="B11" s="66"/>
      <c r="C11" s="70"/>
      <c r="D11" s="68"/>
      <c r="E11" s="66"/>
      <c r="F11" s="70"/>
      <c r="G11" s="68"/>
      <c r="H11" s="66"/>
      <c r="I11" s="70"/>
      <c r="J11" s="68"/>
      <c r="K11" s="66"/>
      <c r="L11" s="70"/>
      <c r="M11" s="69"/>
      <c r="N11" s="66"/>
      <c r="O11" s="70"/>
      <c r="P11" s="69"/>
      <c r="Q11" s="66"/>
      <c r="R11" s="70"/>
      <c r="S11" s="69"/>
      <c r="T11" s="66"/>
      <c r="U11" s="70"/>
      <c r="V11" s="69"/>
      <c r="W11" s="72"/>
      <c r="X11" s="70"/>
      <c r="Y11" s="207"/>
      <c r="Z11" s="71"/>
    </row>
    <row r="12" spans="1:30" s="15" customFormat="1" ht="15.75" customHeight="1">
      <c r="A12" s="65" t="s">
        <v>18</v>
      </c>
      <c r="B12" s="66"/>
      <c r="C12" s="70"/>
      <c r="D12" s="68"/>
      <c r="E12" s="66"/>
      <c r="F12" s="70"/>
      <c r="G12" s="68"/>
      <c r="H12" s="66"/>
      <c r="I12" s="70"/>
      <c r="J12" s="68"/>
      <c r="K12" s="66"/>
      <c r="L12" s="70"/>
      <c r="M12" s="69"/>
      <c r="N12" s="66"/>
      <c r="O12" s="70"/>
      <c r="P12" s="69"/>
      <c r="Q12" s="66"/>
      <c r="R12" s="70"/>
      <c r="S12" s="69"/>
      <c r="T12" s="66"/>
      <c r="U12" s="70"/>
      <c r="V12" s="69"/>
      <c r="W12" s="72"/>
      <c r="X12" s="70"/>
      <c r="Y12" s="207"/>
      <c r="Z12" s="71"/>
    </row>
    <row r="13" spans="1:30" s="15" customFormat="1" ht="15.75" customHeight="1">
      <c r="A13" s="65" t="s">
        <v>19</v>
      </c>
      <c r="B13" s="66"/>
      <c r="C13" s="70"/>
      <c r="D13" s="68"/>
      <c r="E13" s="66"/>
      <c r="F13" s="70"/>
      <c r="G13" s="68"/>
      <c r="H13" s="66"/>
      <c r="I13" s="70"/>
      <c r="J13" s="68"/>
      <c r="K13" s="66"/>
      <c r="L13" s="70"/>
      <c r="M13" s="69"/>
      <c r="N13" s="66"/>
      <c r="O13" s="70"/>
      <c r="P13" s="69"/>
      <c r="Q13" s="66"/>
      <c r="R13" s="70"/>
      <c r="S13" s="69"/>
      <c r="T13" s="66"/>
      <c r="U13" s="70"/>
      <c r="V13" s="69"/>
      <c r="W13" s="72"/>
      <c r="X13" s="70"/>
      <c r="Y13" s="207"/>
      <c r="Z13" s="71"/>
    </row>
    <row r="14" spans="1:30" s="15" customFormat="1" ht="15.75" customHeight="1">
      <c r="A14" s="65" t="s">
        <v>20</v>
      </c>
      <c r="B14" s="66"/>
      <c r="C14" s="70"/>
      <c r="D14" s="68"/>
      <c r="E14" s="66"/>
      <c r="F14" s="70"/>
      <c r="G14" s="68"/>
      <c r="H14" s="66"/>
      <c r="I14" s="70"/>
      <c r="J14" s="68"/>
      <c r="K14" s="66"/>
      <c r="L14" s="70"/>
      <c r="M14" s="69"/>
      <c r="N14" s="66"/>
      <c r="O14" s="70"/>
      <c r="P14" s="69"/>
      <c r="Q14" s="66"/>
      <c r="R14" s="70"/>
      <c r="S14" s="69"/>
      <c r="T14" s="66"/>
      <c r="U14" s="70"/>
      <c r="V14" s="69"/>
      <c r="W14" s="72"/>
      <c r="X14" s="70"/>
      <c r="Y14" s="207"/>
      <c r="Z14" s="71"/>
      <c r="AA14" s="37"/>
      <c r="AB14" s="37"/>
      <c r="AD14" s="38"/>
    </row>
    <row r="15" spans="1:30" s="15" customFormat="1" ht="15.75" customHeight="1">
      <c r="A15" s="65" t="s">
        <v>21</v>
      </c>
      <c r="B15" s="66"/>
      <c r="C15" s="70"/>
      <c r="D15" s="68"/>
      <c r="E15" s="66"/>
      <c r="F15" s="70"/>
      <c r="G15" s="68"/>
      <c r="H15" s="66"/>
      <c r="I15" s="70"/>
      <c r="J15" s="68"/>
      <c r="K15" s="66"/>
      <c r="L15" s="70"/>
      <c r="M15" s="69"/>
      <c r="N15" s="66"/>
      <c r="O15" s="70"/>
      <c r="P15" s="69"/>
      <c r="Q15" s="66"/>
      <c r="R15" s="70"/>
      <c r="S15" s="69"/>
      <c r="T15" s="66"/>
      <c r="U15" s="70"/>
      <c r="V15" s="69"/>
      <c r="W15" s="72"/>
      <c r="X15" s="70"/>
      <c r="Y15" s="207"/>
      <c r="Z15" s="71"/>
    </row>
    <row r="16" spans="1:30" s="15" customFormat="1" ht="15.75" customHeight="1">
      <c r="A16" s="65" t="s">
        <v>22</v>
      </c>
      <c r="B16" s="66"/>
      <c r="C16" s="70"/>
      <c r="D16" s="68"/>
      <c r="E16" s="66"/>
      <c r="F16" s="70"/>
      <c r="G16" s="68"/>
      <c r="H16" s="66"/>
      <c r="I16" s="70"/>
      <c r="J16" s="68"/>
      <c r="K16" s="66"/>
      <c r="L16" s="70"/>
      <c r="M16" s="69"/>
      <c r="N16" s="66"/>
      <c r="O16" s="70"/>
      <c r="P16" s="69"/>
      <c r="Q16" s="66"/>
      <c r="R16" s="70"/>
      <c r="S16" s="69"/>
      <c r="T16" s="66"/>
      <c r="U16" s="70"/>
      <c r="V16" s="69"/>
      <c r="W16" s="72"/>
      <c r="X16" s="70"/>
      <c r="Y16" s="207"/>
      <c r="Z16" s="71"/>
    </row>
    <row r="17" spans="1:26" s="15" customFormat="1" ht="15.75" customHeight="1">
      <c r="A17" s="65" t="s">
        <v>23</v>
      </c>
      <c r="B17" s="66"/>
      <c r="C17" s="70"/>
      <c r="D17" s="68"/>
      <c r="E17" s="66"/>
      <c r="F17" s="70"/>
      <c r="G17" s="68"/>
      <c r="H17" s="66"/>
      <c r="I17" s="70"/>
      <c r="J17" s="68"/>
      <c r="K17" s="66"/>
      <c r="L17" s="70"/>
      <c r="M17" s="69"/>
      <c r="N17" s="66"/>
      <c r="O17" s="70"/>
      <c r="P17" s="69"/>
      <c r="Q17" s="66"/>
      <c r="R17" s="70"/>
      <c r="S17" s="69"/>
      <c r="T17" s="66"/>
      <c r="U17" s="70"/>
      <c r="V17" s="69"/>
      <c r="W17" s="72"/>
      <c r="X17" s="70"/>
      <c r="Y17" s="207"/>
      <c r="Z17" s="71"/>
    </row>
    <row r="18" spans="1:26" s="15" customFormat="1" ht="15.75" customHeight="1">
      <c r="A18" s="65" t="s">
        <v>24</v>
      </c>
      <c r="B18" s="66"/>
      <c r="C18" s="70"/>
      <c r="D18" s="68"/>
      <c r="E18" s="66"/>
      <c r="F18" s="70"/>
      <c r="G18" s="68"/>
      <c r="H18" s="66"/>
      <c r="I18" s="70"/>
      <c r="J18" s="68"/>
      <c r="K18" s="66"/>
      <c r="L18" s="70"/>
      <c r="M18" s="69"/>
      <c r="N18" s="66"/>
      <c r="O18" s="70"/>
      <c r="P18" s="69"/>
      <c r="Q18" s="66"/>
      <c r="R18" s="70"/>
      <c r="S18" s="69"/>
      <c r="T18" s="66"/>
      <c r="U18" s="70"/>
      <c r="V18" s="69"/>
      <c r="W18" s="72"/>
      <c r="X18" s="70"/>
      <c r="Y18" s="207"/>
      <c r="Z18" s="71"/>
    </row>
    <row r="19" spans="1:26" s="15" customFormat="1" ht="15.75" customHeight="1">
      <c r="A19" s="65" t="s">
        <v>25</v>
      </c>
      <c r="B19" s="66"/>
      <c r="C19" s="70"/>
      <c r="D19" s="68"/>
      <c r="E19" s="66"/>
      <c r="F19" s="70"/>
      <c r="G19" s="68"/>
      <c r="H19" s="66"/>
      <c r="I19" s="70"/>
      <c r="J19" s="68"/>
      <c r="K19" s="66"/>
      <c r="L19" s="70"/>
      <c r="M19" s="69"/>
      <c r="N19" s="66"/>
      <c r="O19" s="70"/>
      <c r="P19" s="69"/>
      <c r="Q19" s="66"/>
      <c r="R19" s="70"/>
      <c r="S19" s="69"/>
      <c r="T19" s="66"/>
      <c r="U19" s="70"/>
      <c r="V19" s="69"/>
      <c r="W19" s="72"/>
      <c r="X19" s="70"/>
      <c r="Y19" s="207"/>
      <c r="Z19" s="71"/>
    </row>
    <row r="20" spans="1:26" s="15" customFormat="1" ht="15.75" customHeight="1">
      <c r="A20" s="65" t="s">
        <v>26</v>
      </c>
      <c r="B20" s="66"/>
      <c r="C20" s="70"/>
      <c r="D20" s="68"/>
      <c r="E20" s="66"/>
      <c r="F20" s="70"/>
      <c r="G20" s="68"/>
      <c r="H20" s="66"/>
      <c r="I20" s="70"/>
      <c r="J20" s="68"/>
      <c r="K20" s="66"/>
      <c r="L20" s="70"/>
      <c r="M20" s="69"/>
      <c r="N20" s="66"/>
      <c r="O20" s="70"/>
      <c r="P20" s="69"/>
      <c r="Q20" s="66"/>
      <c r="R20" s="70"/>
      <c r="S20" s="69"/>
      <c r="T20" s="66"/>
      <c r="U20" s="70"/>
      <c r="V20" s="69"/>
      <c r="W20" s="72"/>
      <c r="X20" s="70"/>
      <c r="Y20" s="207"/>
      <c r="Z20" s="71"/>
    </row>
    <row r="21" spans="1:26" s="15" customFormat="1" ht="15.75" customHeight="1">
      <c r="A21" s="65" t="s">
        <v>27</v>
      </c>
      <c r="B21" s="66"/>
      <c r="C21" s="70"/>
      <c r="D21" s="68"/>
      <c r="E21" s="66"/>
      <c r="F21" s="70"/>
      <c r="G21" s="68"/>
      <c r="H21" s="66"/>
      <c r="I21" s="70"/>
      <c r="J21" s="68"/>
      <c r="K21" s="66"/>
      <c r="L21" s="70"/>
      <c r="M21" s="69"/>
      <c r="N21" s="66"/>
      <c r="O21" s="70"/>
      <c r="P21" s="69"/>
      <c r="Q21" s="66"/>
      <c r="R21" s="70"/>
      <c r="S21" s="69"/>
      <c r="T21" s="66"/>
      <c r="U21" s="70"/>
      <c r="V21" s="69"/>
      <c r="W21" s="72"/>
      <c r="X21" s="70"/>
      <c r="Y21" s="207"/>
      <c r="Z21" s="71"/>
    </row>
    <row r="22" spans="1:26" s="15" customFormat="1" ht="15.75" customHeight="1">
      <c r="A22" s="65" t="s">
        <v>28</v>
      </c>
      <c r="B22" s="66"/>
      <c r="C22" s="70"/>
      <c r="D22" s="68"/>
      <c r="E22" s="66"/>
      <c r="F22" s="70"/>
      <c r="G22" s="68"/>
      <c r="H22" s="66"/>
      <c r="I22" s="70"/>
      <c r="J22" s="68"/>
      <c r="K22" s="66"/>
      <c r="L22" s="70"/>
      <c r="M22" s="69"/>
      <c r="N22" s="66"/>
      <c r="O22" s="70"/>
      <c r="P22" s="69"/>
      <c r="Q22" s="66"/>
      <c r="R22" s="70"/>
      <c r="S22" s="69"/>
      <c r="T22" s="66"/>
      <c r="U22" s="70"/>
      <c r="V22" s="69"/>
      <c r="W22" s="72"/>
      <c r="X22" s="70"/>
      <c r="Y22" s="207"/>
      <c r="Z22" s="71"/>
    </row>
    <row r="23" spans="1:26" s="15" customFormat="1" ht="15.75" customHeight="1">
      <c r="A23" s="65" t="s">
        <v>29</v>
      </c>
      <c r="B23" s="66"/>
      <c r="C23" s="70"/>
      <c r="D23" s="68"/>
      <c r="E23" s="66"/>
      <c r="F23" s="70"/>
      <c r="G23" s="68"/>
      <c r="H23" s="66"/>
      <c r="I23" s="70"/>
      <c r="J23" s="68"/>
      <c r="K23" s="66"/>
      <c r="L23" s="70"/>
      <c r="M23" s="69"/>
      <c r="N23" s="66"/>
      <c r="O23" s="70"/>
      <c r="P23" s="69"/>
      <c r="Q23" s="66"/>
      <c r="R23" s="70"/>
      <c r="S23" s="69"/>
      <c r="T23" s="66"/>
      <c r="U23" s="70"/>
      <c r="V23" s="69"/>
      <c r="W23" s="72"/>
      <c r="X23" s="70"/>
      <c r="Y23" s="207"/>
      <c r="Z23" s="71"/>
    </row>
    <row r="24" spans="1:26" s="15" customFormat="1" ht="15.75" customHeight="1">
      <c r="A24" s="65" t="s">
        <v>30</v>
      </c>
      <c r="B24" s="66"/>
      <c r="C24" s="70"/>
      <c r="D24" s="68"/>
      <c r="E24" s="66"/>
      <c r="F24" s="70"/>
      <c r="G24" s="68"/>
      <c r="H24" s="66"/>
      <c r="I24" s="70"/>
      <c r="J24" s="68"/>
      <c r="K24" s="66"/>
      <c r="L24" s="70"/>
      <c r="M24" s="69"/>
      <c r="N24" s="66"/>
      <c r="O24" s="70"/>
      <c r="P24" s="69"/>
      <c r="Q24" s="66"/>
      <c r="R24" s="70"/>
      <c r="S24" s="69"/>
      <c r="T24" s="66"/>
      <c r="U24" s="70"/>
      <c r="V24" s="69"/>
      <c r="W24" s="72"/>
      <c r="X24" s="70"/>
      <c r="Y24" s="207"/>
      <c r="Z24" s="71"/>
    </row>
    <row r="25" spans="1:26" s="15" customFormat="1" ht="15.75" customHeight="1">
      <c r="A25" s="65" t="s">
        <v>31</v>
      </c>
      <c r="B25" s="66"/>
      <c r="C25" s="70"/>
      <c r="D25" s="68"/>
      <c r="E25" s="66"/>
      <c r="F25" s="70"/>
      <c r="G25" s="68"/>
      <c r="H25" s="66"/>
      <c r="I25" s="70"/>
      <c r="J25" s="68"/>
      <c r="K25" s="66"/>
      <c r="L25" s="70"/>
      <c r="M25" s="69"/>
      <c r="N25" s="66"/>
      <c r="O25" s="70"/>
      <c r="P25" s="69"/>
      <c r="Q25" s="66"/>
      <c r="R25" s="70"/>
      <c r="S25" s="69"/>
      <c r="T25" s="66"/>
      <c r="U25" s="70"/>
      <c r="V25" s="69"/>
      <c r="W25" s="72"/>
      <c r="X25" s="70"/>
      <c r="Y25" s="207"/>
      <c r="Z25" s="71"/>
    </row>
    <row r="26" spans="1:26" s="15" customFormat="1" ht="15.75" customHeight="1">
      <c r="A26" s="65" t="s">
        <v>32</v>
      </c>
      <c r="B26" s="66"/>
      <c r="C26" s="70"/>
      <c r="D26" s="68"/>
      <c r="E26" s="66"/>
      <c r="F26" s="70"/>
      <c r="G26" s="68"/>
      <c r="H26" s="66"/>
      <c r="I26" s="70"/>
      <c r="J26" s="68"/>
      <c r="K26" s="66"/>
      <c r="L26" s="70"/>
      <c r="M26" s="69"/>
      <c r="N26" s="66"/>
      <c r="O26" s="70"/>
      <c r="P26" s="69"/>
      <c r="Q26" s="66"/>
      <c r="R26" s="70"/>
      <c r="S26" s="69"/>
      <c r="T26" s="66"/>
      <c r="U26" s="70"/>
      <c r="V26" s="69"/>
      <c r="W26" s="72"/>
      <c r="X26" s="70"/>
      <c r="Y26" s="207"/>
      <c r="Z26" s="71"/>
    </row>
    <row r="27" spans="1:26" s="15" customFormat="1" ht="15.75" customHeight="1">
      <c r="A27" s="65" t="s">
        <v>33</v>
      </c>
      <c r="B27" s="66"/>
      <c r="C27" s="70"/>
      <c r="D27" s="68"/>
      <c r="E27" s="66"/>
      <c r="F27" s="70"/>
      <c r="G27" s="68"/>
      <c r="H27" s="66"/>
      <c r="I27" s="70"/>
      <c r="J27" s="68"/>
      <c r="K27" s="66"/>
      <c r="L27" s="70"/>
      <c r="M27" s="69"/>
      <c r="N27" s="66"/>
      <c r="O27" s="70"/>
      <c r="P27" s="69"/>
      <c r="Q27" s="66"/>
      <c r="R27" s="70"/>
      <c r="S27" s="69"/>
      <c r="T27" s="66"/>
      <c r="U27" s="70"/>
      <c r="V27" s="69"/>
      <c r="W27" s="72"/>
      <c r="X27" s="70"/>
      <c r="Y27" s="207"/>
      <c r="Z27" s="71"/>
    </row>
    <row r="28" spans="1:26" s="15" customFormat="1" ht="15.75" customHeight="1">
      <c r="A28" s="65" t="s">
        <v>34</v>
      </c>
      <c r="B28" s="66"/>
      <c r="C28" s="70"/>
      <c r="D28" s="68"/>
      <c r="E28" s="66"/>
      <c r="F28" s="70"/>
      <c r="G28" s="68"/>
      <c r="H28" s="66"/>
      <c r="I28" s="70"/>
      <c r="J28" s="68"/>
      <c r="K28" s="66"/>
      <c r="L28" s="70"/>
      <c r="M28" s="69"/>
      <c r="N28" s="66"/>
      <c r="O28" s="70"/>
      <c r="P28" s="69"/>
      <c r="Q28" s="66"/>
      <c r="R28" s="70"/>
      <c r="S28" s="69"/>
      <c r="T28" s="66"/>
      <c r="U28" s="70"/>
      <c r="V28" s="69"/>
      <c r="W28" s="72"/>
      <c r="X28" s="70"/>
      <c r="Y28" s="207"/>
      <c r="Z28" s="71"/>
    </row>
    <row r="29" spans="1:26" s="15" customFormat="1" ht="15.75" customHeight="1">
      <c r="A29" s="65" t="s">
        <v>35</v>
      </c>
      <c r="B29" s="66"/>
      <c r="C29" s="70"/>
      <c r="D29" s="68"/>
      <c r="E29" s="66"/>
      <c r="F29" s="70"/>
      <c r="G29" s="68"/>
      <c r="H29" s="66"/>
      <c r="I29" s="70"/>
      <c r="J29" s="68"/>
      <c r="K29" s="66"/>
      <c r="L29" s="70"/>
      <c r="M29" s="69"/>
      <c r="N29" s="66"/>
      <c r="O29" s="70"/>
      <c r="P29" s="69"/>
      <c r="Q29" s="66"/>
      <c r="R29" s="70"/>
      <c r="S29" s="69"/>
      <c r="T29" s="66"/>
      <c r="U29" s="70"/>
      <c r="V29" s="69"/>
      <c r="W29" s="72"/>
      <c r="X29" s="70"/>
      <c r="Y29" s="207"/>
      <c r="Z29" s="71"/>
    </row>
    <row r="30" spans="1:26" s="15" customFormat="1" ht="15.75" customHeight="1">
      <c r="A30" s="65" t="s">
        <v>36</v>
      </c>
      <c r="B30" s="66"/>
      <c r="C30" s="70"/>
      <c r="D30" s="68"/>
      <c r="E30" s="66"/>
      <c r="F30" s="70"/>
      <c r="G30" s="68"/>
      <c r="H30" s="66"/>
      <c r="I30" s="70"/>
      <c r="J30" s="68"/>
      <c r="K30" s="66"/>
      <c r="L30" s="70"/>
      <c r="M30" s="69"/>
      <c r="N30" s="66"/>
      <c r="O30" s="70"/>
      <c r="P30" s="69"/>
      <c r="Q30" s="66"/>
      <c r="R30" s="70"/>
      <c r="S30" s="69"/>
      <c r="T30" s="66"/>
      <c r="U30" s="70"/>
      <c r="V30" s="69"/>
      <c r="W30" s="72"/>
      <c r="X30" s="70"/>
      <c r="Y30" s="207"/>
      <c r="Z30" s="71"/>
    </row>
    <row r="31" spans="1:26" s="15" customFormat="1" ht="15.75" customHeight="1">
      <c r="A31" s="65" t="s">
        <v>37</v>
      </c>
      <c r="B31" s="66"/>
      <c r="C31" s="70"/>
      <c r="D31" s="68"/>
      <c r="E31" s="66"/>
      <c r="F31" s="70"/>
      <c r="G31" s="68"/>
      <c r="H31" s="66"/>
      <c r="I31" s="70"/>
      <c r="J31" s="68"/>
      <c r="K31" s="66"/>
      <c r="L31" s="70"/>
      <c r="M31" s="69"/>
      <c r="N31" s="66"/>
      <c r="O31" s="70"/>
      <c r="P31" s="69"/>
      <c r="Q31" s="66"/>
      <c r="R31" s="70"/>
      <c r="S31" s="69"/>
      <c r="T31" s="66"/>
      <c r="U31" s="70"/>
      <c r="V31" s="69"/>
      <c r="W31" s="72"/>
      <c r="X31" s="70"/>
      <c r="Y31" s="207"/>
      <c r="Z31" s="71"/>
    </row>
    <row r="32" spans="1:26" s="15" customFormat="1" ht="15.75" customHeight="1">
      <c r="A32" s="65" t="s">
        <v>38</v>
      </c>
      <c r="B32" s="66"/>
      <c r="C32" s="70"/>
      <c r="D32" s="68"/>
      <c r="E32" s="66"/>
      <c r="F32" s="70"/>
      <c r="G32" s="68"/>
      <c r="H32" s="66"/>
      <c r="I32" s="70"/>
      <c r="J32" s="68"/>
      <c r="K32" s="66"/>
      <c r="L32" s="70"/>
      <c r="M32" s="69"/>
      <c r="N32" s="66"/>
      <c r="O32" s="70"/>
      <c r="P32" s="69"/>
      <c r="Q32" s="66"/>
      <c r="R32" s="70"/>
      <c r="S32" s="69"/>
      <c r="T32" s="66"/>
      <c r="U32" s="70"/>
      <c r="V32" s="69"/>
      <c r="W32" s="72"/>
      <c r="X32" s="70"/>
      <c r="Y32" s="207"/>
      <c r="Z32" s="71"/>
    </row>
    <row r="33" spans="1:29" s="15" customFormat="1" ht="15.75" customHeight="1">
      <c r="A33" s="65" t="s">
        <v>39</v>
      </c>
      <c r="B33" s="66"/>
      <c r="C33" s="70"/>
      <c r="D33" s="68"/>
      <c r="E33" s="66"/>
      <c r="F33" s="70"/>
      <c r="G33" s="68"/>
      <c r="H33" s="66"/>
      <c r="I33" s="70"/>
      <c r="J33" s="68"/>
      <c r="K33" s="66"/>
      <c r="L33" s="70"/>
      <c r="M33" s="69"/>
      <c r="N33" s="66"/>
      <c r="O33" s="70"/>
      <c r="P33" s="69"/>
      <c r="Q33" s="66"/>
      <c r="R33" s="70"/>
      <c r="S33" s="69"/>
      <c r="T33" s="66"/>
      <c r="U33" s="70"/>
      <c r="V33" s="69"/>
      <c r="W33" s="72"/>
      <c r="X33" s="70"/>
      <c r="Y33" s="207"/>
      <c r="Z33" s="71"/>
    </row>
    <row r="34" spans="1:29" s="15" customFormat="1" ht="15.75" customHeight="1">
      <c r="A34" s="65" t="s">
        <v>40</v>
      </c>
      <c r="B34" s="66"/>
      <c r="C34" s="70"/>
      <c r="D34" s="68"/>
      <c r="E34" s="66"/>
      <c r="F34" s="70"/>
      <c r="G34" s="68"/>
      <c r="H34" s="66"/>
      <c r="I34" s="70"/>
      <c r="J34" s="68"/>
      <c r="K34" s="66"/>
      <c r="L34" s="70"/>
      <c r="M34" s="69"/>
      <c r="N34" s="66"/>
      <c r="O34" s="70"/>
      <c r="P34" s="69"/>
      <c r="Q34" s="66"/>
      <c r="R34" s="70"/>
      <c r="S34" s="69"/>
      <c r="T34" s="66"/>
      <c r="U34" s="70"/>
      <c r="V34" s="69"/>
      <c r="W34" s="72"/>
      <c r="X34" s="70"/>
      <c r="Y34" s="207"/>
      <c r="Z34" s="71"/>
    </row>
    <row r="35" spans="1:29" s="15" customFormat="1" ht="15.75" customHeight="1">
      <c r="A35" s="65" t="s">
        <v>41</v>
      </c>
      <c r="B35" s="66"/>
      <c r="C35" s="70"/>
      <c r="D35" s="68"/>
      <c r="E35" s="66"/>
      <c r="F35" s="70"/>
      <c r="G35" s="68"/>
      <c r="H35" s="66"/>
      <c r="I35" s="70"/>
      <c r="J35" s="68"/>
      <c r="K35" s="66"/>
      <c r="L35" s="70"/>
      <c r="M35" s="69"/>
      <c r="N35" s="66"/>
      <c r="O35" s="70"/>
      <c r="P35" s="69"/>
      <c r="Q35" s="66"/>
      <c r="R35" s="70"/>
      <c r="S35" s="69"/>
      <c r="T35" s="66"/>
      <c r="U35" s="70"/>
      <c r="V35" s="69"/>
      <c r="W35" s="72"/>
      <c r="X35" s="70"/>
      <c r="Y35" s="207"/>
      <c r="Z35" s="71"/>
    </row>
    <row r="36" spans="1:29" s="15" customFormat="1" ht="15.75" customHeight="1">
      <c r="A36" s="65" t="s">
        <v>42</v>
      </c>
      <c r="B36" s="66"/>
      <c r="C36" s="70"/>
      <c r="D36" s="68"/>
      <c r="E36" s="66"/>
      <c r="F36" s="70"/>
      <c r="G36" s="68"/>
      <c r="H36" s="66"/>
      <c r="I36" s="70"/>
      <c r="J36" s="68"/>
      <c r="K36" s="66"/>
      <c r="L36" s="70"/>
      <c r="M36" s="69"/>
      <c r="N36" s="66"/>
      <c r="O36" s="70"/>
      <c r="P36" s="69"/>
      <c r="Q36" s="66"/>
      <c r="R36" s="70"/>
      <c r="S36" s="69"/>
      <c r="T36" s="66"/>
      <c r="U36" s="70"/>
      <c r="V36" s="69"/>
      <c r="W36" s="72"/>
      <c r="X36" s="70"/>
      <c r="Y36" s="207"/>
      <c r="Z36" s="71"/>
    </row>
    <row r="37" spans="1:29" s="15" customFormat="1" ht="15.75" customHeight="1">
      <c r="A37" s="65" t="s">
        <v>43</v>
      </c>
      <c r="B37" s="66"/>
      <c r="C37" s="70"/>
      <c r="D37" s="68"/>
      <c r="E37" s="66"/>
      <c r="F37" s="70"/>
      <c r="G37" s="68"/>
      <c r="H37" s="66"/>
      <c r="I37" s="70"/>
      <c r="J37" s="68"/>
      <c r="K37" s="66"/>
      <c r="L37" s="70"/>
      <c r="M37" s="69"/>
      <c r="N37" s="66"/>
      <c r="O37" s="70"/>
      <c r="P37" s="69"/>
      <c r="Q37" s="66"/>
      <c r="R37" s="70"/>
      <c r="S37" s="69"/>
      <c r="T37" s="66"/>
      <c r="U37" s="70"/>
      <c r="V37" s="69"/>
      <c r="W37" s="72"/>
      <c r="X37" s="70"/>
      <c r="Y37" s="207"/>
      <c r="Z37" s="71"/>
    </row>
    <row r="38" spans="1:29" s="15" customFormat="1" ht="15.75" customHeight="1">
      <c r="A38" s="65" t="s">
        <v>44</v>
      </c>
      <c r="B38" s="66"/>
      <c r="C38" s="70"/>
      <c r="D38" s="68"/>
      <c r="E38" s="66"/>
      <c r="F38" s="70"/>
      <c r="G38" s="68"/>
      <c r="H38" s="66"/>
      <c r="I38" s="70"/>
      <c r="J38" s="68"/>
      <c r="K38" s="66"/>
      <c r="L38" s="70"/>
      <c r="M38" s="69"/>
      <c r="N38" s="66"/>
      <c r="O38" s="70"/>
      <c r="P38" s="69"/>
      <c r="Q38" s="66"/>
      <c r="R38" s="70"/>
      <c r="S38" s="69"/>
      <c r="T38" s="66"/>
      <c r="U38" s="70"/>
      <c r="V38" s="69"/>
      <c r="W38" s="72"/>
      <c r="X38" s="70"/>
      <c r="Y38" s="207"/>
      <c r="Z38" s="71"/>
    </row>
    <row r="39" spans="1:29" s="15" customFormat="1" ht="15.75" customHeight="1" thickBot="1">
      <c r="A39" s="65" t="s">
        <v>45</v>
      </c>
      <c r="B39" s="66"/>
      <c r="C39" s="70"/>
      <c r="D39" s="68"/>
      <c r="E39" s="66"/>
      <c r="F39" s="70"/>
      <c r="G39" s="68"/>
      <c r="H39" s="66"/>
      <c r="I39" s="70"/>
      <c r="J39" s="68"/>
      <c r="K39" s="66"/>
      <c r="L39" s="70"/>
      <c r="M39" s="69"/>
      <c r="N39" s="66"/>
      <c r="O39" s="70"/>
      <c r="P39" s="69"/>
      <c r="Q39" s="66"/>
      <c r="R39" s="70"/>
      <c r="S39" s="69"/>
      <c r="T39" s="66"/>
      <c r="U39" s="70"/>
      <c r="V39" s="69"/>
      <c r="W39" s="72"/>
      <c r="X39" s="70"/>
      <c r="Y39" s="207"/>
      <c r="Z39" s="71"/>
    </row>
    <row r="40" spans="1:29" s="20" customFormat="1" ht="16.5" customHeight="1" thickTop="1">
      <c r="A40" s="199" t="s">
        <v>46</v>
      </c>
      <c r="B40" s="200"/>
      <c r="C40" s="17">
        <f>IFERROR(SUM(C8:C37), "")</f>
        <v>0</v>
      </c>
      <c r="D40" s="18"/>
      <c r="E40" s="73"/>
      <c r="F40" s="17">
        <f>SUM(F8:F37)</f>
        <v>0</v>
      </c>
      <c r="G40" s="18">
        <f>MAX(G9:G37)</f>
        <v>0</v>
      </c>
      <c r="H40" s="74"/>
      <c r="I40" s="17">
        <f>SUM(I8:I37)</f>
        <v>0</v>
      </c>
      <c r="J40" s="18">
        <f>MAX(J9:J37)</f>
        <v>0</v>
      </c>
      <c r="K40" s="73"/>
      <c r="L40" s="17">
        <f>SUM(L8:L37)</f>
        <v>0</v>
      </c>
      <c r="M40" s="18">
        <f>MAX(M9:M37)</f>
        <v>0</v>
      </c>
      <c r="N40" s="73"/>
      <c r="O40" s="17">
        <f>SUM(O8:O37)</f>
        <v>0</v>
      </c>
      <c r="P40" s="18">
        <f>MAX(P9:P37)</f>
        <v>0</v>
      </c>
      <c r="Q40" s="73"/>
      <c r="R40" s="17">
        <f>SUM(R8:R37)</f>
        <v>0</v>
      </c>
      <c r="S40" s="18">
        <f>MAX(S9:S37)</f>
        <v>0</v>
      </c>
      <c r="T40" s="73"/>
      <c r="U40" s="17">
        <f>SUM(U8:U37)</f>
        <v>0</v>
      </c>
      <c r="V40" s="18">
        <f>MAX(V9:V37)</f>
        <v>0</v>
      </c>
      <c r="W40" s="75"/>
      <c r="X40" s="74"/>
      <c r="Y40" s="208"/>
      <c r="Z40" s="12"/>
    </row>
    <row r="41" spans="1:29" s="21" customFormat="1" ht="16.5" customHeight="1" thickBot="1">
      <c r="A41" s="201" t="s">
        <v>47</v>
      </c>
      <c r="B41" s="202"/>
      <c r="C41" s="126">
        <f>C40/31</f>
        <v>0</v>
      </c>
      <c r="D41" s="209">
        <f>MAX(D8:D39)</f>
        <v>0</v>
      </c>
      <c r="E41" s="77"/>
      <c r="F41" s="126">
        <f>F40/31</f>
        <v>0</v>
      </c>
      <c r="G41" s="209">
        <f>MAX(G8:G39)</f>
        <v>0</v>
      </c>
      <c r="H41" s="77"/>
      <c r="I41" s="126">
        <f>I40/31</f>
        <v>0</v>
      </c>
      <c r="J41" s="209">
        <f>MAX(J8:J39)</f>
        <v>0</v>
      </c>
      <c r="K41" s="77"/>
      <c r="L41" s="126">
        <f>L40/31</f>
        <v>0</v>
      </c>
      <c r="M41" s="209">
        <f>MAX(M8:M39)</f>
        <v>0</v>
      </c>
      <c r="N41" s="77"/>
      <c r="O41" s="126">
        <f>O40/31</f>
        <v>0</v>
      </c>
      <c r="P41" s="209">
        <f>MAX(P8:P39)</f>
        <v>0</v>
      </c>
      <c r="Q41" s="77"/>
      <c r="R41" s="126">
        <f>R40/31</f>
        <v>0</v>
      </c>
      <c r="S41" s="209">
        <f>MAX(S8:S39)</f>
        <v>0</v>
      </c>
      <c r="T41" s="77"/>
      <c r="U41" s="126">
        <f>U40/31</f>
        <v>0</v>
      </c>
      <c r="V41" s="209">
        <f>MAX(V8:V39)</f>
        <v>0</v>
      </c>
      <c r="W41" s="79"/>
      <c r="X41" s="80"/>
      <c r="Y41" s="210"/>
      <c r="Z41" s="81"/>
    </row>
    <row r="42" spans="1:29" s="21" customFormat="1" ht="19.5" customHeight="1">
      <c r="A42" s="14"/>
      <c r="B42" s="14"/>
      <c r="C42" s="82"/>
      <c r="D42" s="83"/>
      <c r="E42" s="84"/>
      <c r="F42" s="82"/>
      <c r="G42" s="83"/>
      <c r="H42" s="84"/>
      <c r="I42" s="82"/>
      <c r="J42" s="83"/>
      <c r="K42" s="84"/>
      <c r="L42" s="82"/>
      <c r="M42" s="83"/>
      <c r="N42" s="84"/>
      <c r="O42" s="82"/>
      <c r="P42" s="83"/>
      <c r="Q42" s="84"/>
      <c r="R42" s="82"/>
      <c r="S42" s="83"/>
      <c r="T42" s="84"/>
      <c r="U42" s="82"/>
      <c r="V42" s="83"/>
      <c r="W42" s="84"/>
      <c r="X42" s="82"/>
      <c r="Y42" s="83"/>
      <c r="Z42" s="82"/>
      <c r="AA42" s="22"/>
    </row>
    <row r="43" spans="1:29" s="8" customFormat="1" ht="21.75" customHeight="1" thickBot="1">
      <c r="A43" s="86"/>
      <c r="B43" s="85"/>
      <c r="C43" s="87"/>
      <c r="D43" s="87"/>
      <c r="E43" s="85" t="s">
        <v>48</v>
      </c>
      <c r="F43" s="88"/>
      <c r="G43" s="88"/>
      <c r="H43" s="85" t="s">
        <v>48</v>
      </c>
      <c r="I43" s="88"/>
      <c r="J43" s="88"/>
      <c r="K43" s="85" t="s">
        <v>48</v>
      </c>
      <c r="L43" s="88"/>
      <c r="M43" s="88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20"/>
    </row>
    <row r="44" spans="1:29" s="10" customFormat="1" ht="21" customHeight="1">
      <c r="A44" s="197" t="s">
        <v>49</v>
      </c>
      <c r="B44" s="52" t="s">
        <v>50</v>
      </c>
      <c r="C44" s="53"/>
      <c r="D44" s="53"/>
      <c r="E44" s="52" t="s">
        <v>51</v>
      </c>
      <c r="F44" s="53"/>
      <c r="G44" s="53"/>
      <c r="H44" s="52" t="s">
        <v>52</v>
      </c>
      <c r="I44" s="53"/>
      <c r="J44" s="54"/>
      <c r="K44" s="89" t="s">
        <v>53</v>
      </c>
      <c r="L44" s="90"/>
      <c r="M44" s="91"/>
      <c r="N44" s="52" t="s">
        <v>54</v>
      </c>
      <c r="O44" s="53"/>
      <c r="P44" s="54"/>
      <c r="Q44" s="52" t="s">
        <v>55</v>
      </c>
      <c r="R44" s="53"/>
      <c r="S44" s="54"/>
      <c r="T44" s="52" t="s">
        <v>56</v>
      </c>
      <c r="U44" s="53"/>
      <c r="V44" s="54"/>
      <c r="W44" s="52" t="s">
        <v>57</v>
      </c>
      <c r="X44" s="53"/>
      <c r="Y44" s="53"/>
      <c r="Z44" s="53"/>
      <c r="AA44" s="9"/>
    </row>
    <row r="45" spans="1:29" s="12" customFormat="1" ht="21" customHeight="1">
      <c r="A45" s="198"/>
      <c r="B45" s="57" t="s">
        <v>8</v>
      </c>
      <c r="C45" s="58"/>
      <c r="D45" s="58"/>
      <c r="E45" s="57" t="s">
        <v>11</v>
      </c>
      <c r="F45" s="58"/>
      <c r="G45" s="58"/>
      <c r="H45" s="57" t="s">
        <v>12</v>
      </c>
      <c r="I45" s="58"/>
      <c r="J45" s="59"/>
      <c r="K45" s="57" t="s">
        <v>58</v>
      </c>
      <c r="L45" s="58"/>
      <c r="M45" s="59"/>
      <c r="N45" s="57" t="s">
        <v>12</v>
      </c>
      <c r="O45" s="58"/>
      <c r="P45" s="59"/>
      <c r="Q45" s="57" t="s">
        <v>58</v>
      </c>
      <c r="R45" s="58"/>
      <c r="S45" s="59"/>
      <c r="T45" s="57" t="s">
        <v>12</v>
      </c>
      <c r="U45" s="58"/>
      <c r="V45" s="59"/>
      <c r="W45" s="57" t="s">
        <v>12</v>
      </c>
      <c r="X45" s="58"/>
      <c r="Y45" s="58"/>
      <c r="Z45" s="58"/>
      <c r="AA45" s="11"/>
    </row>
    <row r="46" spans="1:29" s="14" customFormat="1" ht="21" customHeight="1" thickBot="1">
      <c r="A46" s="198"/>
      <c r="B46" s="61" t="s">
        <v>159</v>
      </c>
      <c r="C46" s="62" t="s">
        <v>160</v>
      </c>
      <c r="D46" s="62" t="s">
        <v>161</v>
      </c>
      <c r="E46" s="61" t="s">
        <v>159</v>
      </c>
      <c r="F46" s="62" t="s">
        <v>160</v>
      </c>
      <c r="G46" s="62" t="s">
        <v>161</v>
      </c>
      <c r="H46" s="61" t="s">
        <v>159</v>
      </c>
      <c r="I46" s="62" t="s">
        <v>160</v>
      </c>
      <c r="J46" s="63" t="s">
        <v>161</v>
      </c>
      <c r="K46" s="61" t="s">
        <v>159</v>
      </c>
      <c r="L46" s="62" t="s">
        <v>160</v>
      </c>
      <c r="M46" s="63" t="s">
        <v>161</v>
      </c>
      <c r="N46" s="61" t="s">
        <v>159</v>
      </c>
      <c r="O46" s="62" t="s">
        <v>160</v>
      </c>
      <c r="P46" s="63" t="s">
        <v>161</v>
      </c>
      <c r="Q46" s="61" t="s">
        <v>159</v>
      </c>
      <c r="R46" s="62" t="s">
        <v>160</v>
      </c>
      <c r="S46" s="63" t="s">
        <v>161</v>
      </c>
      <c r="T46" s="61" t="s">
        <v>159</v>
      </c>
      <c r="U46" s="62" t="s">
        <v>160</v>
      </c>
      <c r="V46" s="63" t="s">
        <v>161</v>
      </c>
      <c r="W46" s="61" t="s">
        <v>159</v>
      </c>
      <c r="X46" s="62" t="s">
        <v>160</v>
      </c>
      <c r="Y46" s="63" t="s">
        <v>161</v>
      </c>
      <c r="Z46" s="62" t="s">
        <v>160</v>
      </c>
      <c r="AA46" s="13" t="s">
        <v>161</v>
      </c>
    </row>
    <row r="47" spans="1:29" s="15" customFormat="1" ht="15.75" customHeight="1" thickTop="1">
      <c r="A47" s="65" t="s">
        <v>14</v>
      </c>
      <c r="B47" s="129"/>
      <c r="C47" s="68"/>
      <c r="D47" s="68"/>
      <c r="E47" s="129"/>
      <c r="F47" s="68"/>
      <c r="G47" s="68"/>
      <c r="H47" s="129"/>
      <c r="I47" s="68"/>
      <c r="J47" s="68"/>
      <c r="K47" s="129"/>
      <c r="L47" s="68"/>
      <c r="M47" s="68"/>
      <c r="N47" s="129"/>
      <c r="O47" s="68"/>
      <c r="P47" s="68"/>
      <c r="Q47" s="129"/>
      <c r="R47" s="68"/>
      <c r="S47" s="68"/>
      <c r="T47" s="129"/>
      <c r="U47" s="68"/>
      <c r="V47" s="68"/>
      <c r="W47" s="129"/>
      <c r="X47" s="68"/>
      <c r="Y47" s="68"/>
      <c r="Z47" s="70"/>
      <c r="AA47" s="23"/>
      <c r="AB47" s="8"/>
      <c r="AC47" s="8"/>
    </row>
    <row r="48" spans="1:29" s="25" customFormat="1" ht="15.75" customHeight="1">
      <c r="A48" s="65" t="s">
        <v>15</v>
      </c>
      <c r="B48" s="66"/>
      <c r="C48" s="70"/>
      <c r="D48" s="70"/>
      <c r="E48" s="66"/>
      <c r="F48" s="70"/>
      <c r="G48" s="70"/>
      <c r="H48" s="66"/>
      <c r="I48" s="70"/>
      <c r="J48" s="70"/>
      <c r="K48" s="66"/>
      <c r="L48" s="70"/>
      <c r="M48" s="70"/>
      <c r="N48" s="66"/>
      <c r="O48" s="70"/>
      <c r="P48" s="70"/>
      <c r="Q48" s="66"/>
      <c r="R48" s="70"/>
      <c r="S48" s="70"/>
      <c r="T48" s="66"/>
      <c r="U48" s="70"/>
      <c r="V48" s="70"/>
      <c r="W48" s="66"/>
      <c r="X48" s="70"/>
      <c r="Y48" s="70"/>
      <c r="Z48" s="105"/>
      <c r="AA48" s="122"/>
      <c r="AB48" s="24"/>
      <c r="AC48" s="24"/>
    </row>
    <row r="49" spans="1:29" s="15" customFormat="1" ht="15.75" customHeight="1">
      <c r="A49" s="65" t="s">
        <v>16</v>
      </c>
      <c r="B49" s="66"/>
      <c r="C49" s="70"/>
      <c r="D49" s="70"/>
      <c r="E49" s="66"/>
      <c r="F49" s="70"/>
      <c r="G49" s="70"/>
      <c r="H49" s="66"/>
      <c r="I49" s="70"/>
      <c r="J49" s="70"/>
      <c r="K49" s="66"/>
      <c r="L49" s="70"/>
      <c r="M49" s="70"/>
      <c r="N49" s="66"/>
      <c r="O49" s="70"/>
      <c r="P49" s="70"/>
      <c r="Q49" s="66"/>
      <c r="R49" s="70"/>
      <c r="S49" s="70"/>
      <c r="T49" s="66"/>
      <c r="U49" s="70"/>
      <c r="V49" s="70"/>
      <c r="W49" s="66"/>
      <c r="X49" s="70"/>
      <c r="Y49" s="70"/>
      <c r="Z49" s="105"/>
      <c r="AA49" s="122"/>
      <c r="AB49" s="8"/>
      <c r="AC49" s="8"/>
    </row>
    <row r="50" spans="1:29" s="15" customFormat="1" ht="15.75" customHeight="1">
      <c r="A50" s="65" t="s">
        <v>17</v>
      </c>
      <c r="B50" s="66"/>
      <c r="C50" s="70"/>
      <c r="D50" s="70"/>
      <c r="E50" s="66"/>
      <c r="F50" s="70"/>
      <c r="G50" s="70"/>
      <c r="H50" s="66"/>
      <c r="I50" s="70"/>
      <c r="J50" s="70"/>
      <c r="K50" s="66"/>
      <c r="L50" s="70"/>
      <c r="M50" s="70"/>
      <c r="N50" s="66"/>
      <c r="O50" s="70"/>
      <c r="P50" s="70"/>
      <c r="Q50" s="66"/>
      <c r="R50" s="70"/>
      <c r="S50" s="70"/>
      <c r="T50" s="66"/>
      <c r="U50" s="70"/>
      <c r="V50" s="70"/>
      <c r="W50" s="66"/>
      <c r="X50" s="70"/>
      <c r="Y50" s="70"/>
      <c r="Z50" s="105"/>
      <c r="AA50" s="122"/>
      <c r="AB50" s="8"/>
      <c r="AC50" s="8"/>
    </row>
    <row r="51" spans="1:29" s="15" customFormat="1" ht="15.75" customHeight="1">
      <c r="A51" s="65" t="s">
        <v>18</v>
      </c>
      <c r="B51" s="66"/>
      <c r="C51" s="70"/>
      <c r="D51" s="70"/>
      <c r="E51" s="66"/>
      <c r="F51" s="70"/>
      <c r="G51" s="70"/>
      <c r="H51" s="66"/>
      <c r="I51" s="70"/>
      <c r="J51" s="70"/>
      <c r="K51" s="66"/>
      <c r="L51" s="70"/>
      <c r="M51" s="70"/>
      <c r="N51" s="66"/>
      <c r="O51" s="70"/>
      <c r="P51" s="70"/>
      <c r="Q51" s="66"/>
      <c r="R51" s="70"/>
      <c r="S51" s="70"/>
      <c r="T51" s="66"/>
      <c r="U51" s="70"/>
      <c r="V51" s="70"/>
      <c r="W51" s="66"/>
      <c r="X51" s="70"/>
      <c r="Y51" s="70"/>
      <c r="Z51" s="105"/>
      <c r="AA51" s="122"/>
      <c r="AB51" s="8"/>
      <c r="AC51" s="8"/>
    </row>
    <row r="52" spans="1:29" s="15" customFormat="1" ht="15.75" customHeight="1">
      <c r="A52" s="65" t="s">
        <v>19</v>
      </c>
      <c r="B52" s="66"/>
      <c r="C52" s="70"/>
      <c r="D52" s="70"/>
      <c r="E52" s="66"/>
      <c r="F52" s="70"/>
      <c r="G52" s="70"/>
      <c r="H52" s="66"/>
      <c r="I52" s="70"/>
      <c r="J52" s="70"/>
      <c r="K52" s="66"/>
      <c r="L52" s="70"/>
      <c r="M52" s="70"/>
      <c r="N52" s="66"/>
      <c r="O52" s="70"/>
      <c r="P52" s="70"/>
      <c r="Q52" s="66"/>
      <c r="R52" s="70"/>
      <c r="S52" s="70"/>
      <c r="T52" s="66"/>
      <c r="U52" s="70"/>
      <c r="V52" s="70"/>
      <c r="W52" s="66"/>
      <c r="X52" s="70"/>
      <c r="Y52" s="70"/>
      <c r="Z52" s="105"/>
      <c r="AA52" s="122"/>
      <c r="AB52" s="8"/>
      <c r="AC52" s="8"/>
    </row>
    <row r="53" spans="1:29" s="15" customFormat="1" ht="15.75" customHeight="1">
      <c r="A53" s="65" t="s">
        <v>20</v>
      </c>
      <c r="B53" s="66"/>
      <c r="C53" s="70"/>
      <c r="D53" s="70"/>
      <c r="E53" s="66"/>
      <c r="F53" s="70"/>
      <c r="G53" s="70"/>
      <c r="H53" s="66"/>
      <c r="I53" s="70"/>
      <c r="J53" s="70"/>
      <c r="K53" s="66"/>
      <c r="L53" s="70"/>
      <c r="M53" s="70"/>
      <c r="N53" s="66"/>
      <c r="O53" s="70"/>
      <c r="P53" s="70"/>
      <c r="Q53" s="66"/>
      <c r="R53" s="70"/>
      <c r="S53" s="70"/>
      <c r="T53" s="66"/>
      <c r="U53" s="70"/>
      <c r="V53" s="70"/>
      <c r="W53" s="66"/>
      <c r="X53" s="70"/>
      <c r="Y53" s="70"/>
      <c r="Z53" s="105"/>
      <c r="AA53" s="122"/>
      <c r="AB53" s="8"/>
      <c r="AC53" s="8"/>
    </row>
    <row r="54" spans="1:29" s="15" customFormat="1" ht="15.75" customHeight="1">
      <c r="A54" s="65" t="s">
        <v>21</v>
      </c>
      <c r="B54" s="66"/>
      <c r="C54" s="70"/>
      <c r="D54" s="70"/>
      <c r="E54" s="66"/>
      <c r="F54" s="70"/>
      <c r="G54" s="70"/>
      <c r="H54" s="66"/>
      <c r="I54" s="70"/>
      <c r="J54" s="70"/>
      <c r="K54" s="66"/>
      <c r="L54" s="70"/>
      <c r="M54" s="70"/>
      <c r="N54" s="66"/>
      <c r="O54" s="70"/>
      <c r="P54" s="70"/>
      <c r="Q54" s="66"/>
      <c r="R54" s="70"/>
      <c r="S54" s="70"/>
      <c r="T54" s="66"/>
      <c r="U54" s="70"/>
      <c r="V54" s="70"/>
      <c r="W54" s="66"/>
      <c r="X54" s="70"/>
      <c r="Y54" s="70"/>
      <c r="Z54" s="105"/>
      <c r="AA54" s="122"/>
      <c r="AB54" s="8"/>
      <c r="AC54" s="8"/>
    </row>
    <row r="55" spans="1:29" s="15" customFormat="1" ht="15.75" customHeight="1">
      <c r="A55" s="65" t="s">
        <v>22</v>
      </c>
      <c r="B55" s="66"/>
      <c r="C55" s="70"/>
      <c r="D55" s="70"/>
      <c r="E55" s="66"/>
      <c r="F55" s="70"/>
      <c r="G55" s="70"/>
      <c r="H55" s="66"/>
      <c r="I55" s="70"/>
      <c r="J55" s="70"/>
      <c r="K55" s="66"/>
      <c r="L55" s="70"/>
      <c r="M55" s="70"/>
      <c r="N55" s="66"/>
      <c r="O55" s="70"/>
      <c r="P55" s="70"/>
      <c r="Q55" s="66"/>
      <c r="R55" s="70"/>
      <c r="S55" s="70"/>
      <c r="T55" s="66"/>
      <c r="U55" s="70"/>
      <c r="V55" s="70"/>
      <c r="W55" s="66"/>
      <c r="X55" s="70"/>
      <c r="Y55" s="70"/>
      <c r="Z55" s="105"/>
      <c r="AA55" s="122"/>
      <c r="AB55" s="8"/>
      <c r="AC55" s="8"/>
    </row>
    <row r="56" spans="1:29" s="15" customFormat="1" ht="15.75" customHeight="1">
      <c r="A56" s="65" t="s">
        <v>23</v>
      </c>
      <c r="B56" s="66"/>
      <c r="C56" s="70"/>
      <c r="D56" s="70"/>
      <c r="E56" s="66"/>
      <c r="F56" s="70"/>
      <c r="G56" s="70"/>
      <c r="H56" s="66"/>
      <c r="I56" s="70"/>
      <c r="J56" s="70"/>
      <c r="K56" s="66"/>
      <c r="L56" s="70"/>
      <c r="M56" s="70"/>
      <c r="N56" s="66"/>
      <c r="O56" s="70"/>
      <c r="P56" s="70"/>
      <c r="Q56" s="66"/>
      <c r="R56" s="70"/>
      <c r="S56" s="70"/>
      <c r="T56" s="66"/>
      <c r="U56" s="70"/>
      <c r="V56" s="70"/>
      <c r="W56" s="66"/>
      <c r="X56" s="70"/>
      <c r="Y56" s="70"/>
      <c r="Z56" s="105"/>
      <c r="AA56" s="122"/>
      <c r="AB56" s="8"/>
      <c r="AC56" s="8"/>
    </row>
    <row r="57" spans="1:29" s="15" customFormat="1" ht="15.75" customHeight="1">
      <c r="A57" s="65" t="s">
        <v>24</v>
      </c>
      <c r="B57" s="66"/>
      <c r="C57" s="70"/>
      <c r="D57" s="70"/>
      <c r="E57" s="66"/>
      <c r="F57" s="70"/>
      <c r="G57" s="70"/>
      <c r="H57" s="66"/>
      <c r="I57" s="70"/>
      <c r="J57" s="70"/>
      <c r="K57" s="66"/>
      <c r="L57" s="70"/>
      <c r="M57" s="70"/>
      <c r="N57" s="66"/>
      <c r="O57" s="70"/>
      <c r="P57" s="70"/>
      <c r="Q57" s="66"/>
      <c r="R57" s="70"/>
      <c r="S57" s="70"/>
      <c r="T57" s="66"/>
      <c r="U57" s="70"/>
      <c r="V57" s="70"/>
      <c r="W57" s="66"/>
      <c r="X57" s="70"/>
      <c r="Y57" s="70"/>
      <c r="Z57" s="105"/>
      <c r="AA57" s="122"/>
      <c r="AB57" s="8"/>
      <c r="AC57" s="8"/>
    </row>
    <row r="58" spans="1:29" s="15" customFormat="1" ht="15.75" customHeight="1">
      <c r="A58" s="65" t="s">
        <v>25</v>
      </c>
      <c r="B58" s="66"/>
      <c r="C58" s="70"/>
      <c r="D58" s="70"/>
      <c r="E58" s="66"/>
      <c r="F58" s="70"/>
      <c r="G58" s="70"/>
      <c r="H58" s="66"/>
      <c r="I58" s="70"/>
      <c r="J58" s="70"/>
      <c r="K58" s="66"/>
      <c r="L58" s="70"/>
      <c r="M58" s="70"/>
      <c r="N58" s="66"/>
      <c r="O58" s="70"/>
      <c r="P58" s="70"/>
      <c r="Q58" s="66"/>
      <c r="R58" s="70"/>
      <c r="S58" s="70"/>
      <c r="T58" s="66"/>
      <c r="U58" s="70"/>
      <c r="V58" s="70"/>
      <c r="W58" s="66"/>
      <c r="X58" s="70"/>
      <c r="Y58" s="70"/>
      <c r="Z58" s="105"/>
      <c r="AA58" s="122"/>
      <c r="AB58" s="8"/>
      <c r="AC58" s="8"/>
    </row>
    <row r="59" spans="1:29" s="15" customFormat="1" ht="15.75" customHeight="1">
      <c r="A59" s="65" t="s">
        <v>26</v>
      </c>
      <c r="B59" s="66"/>
      <c r="C59" s="70"/>
      <c r="D59" s="70"/>
      <c r="E59" s="66"/>
      <c r="F59" s="70"/>
      <c r="G59" s="70"/>
      <c r="H59" s="66"/>
      <c r="I59" s="70"/>
      <c r="J59" s="70"/>
      <c r="K59" s="66"/>
      <c r="L59" s="70"/>
      <c r="M59" s="70"/>
      <c r="N59" s="66"/>
      <c r="O59" s="70"/>
      <c r="P59" s="70"/>
      <c r="Q59" s="66"/>
      <c r="R59" s="70"/>
      <c r="S59" s="70"/>
      <c r="T59" s="66"/>
      <c r="U59" s="70"/>
      <c r="V59" s="70"/>
      <c r="W59" s="66"/>
      <c r="X59" s="70"/>
      <c r="Y59" s="70"/>
      <c r="Z59" s="105"/>
      <c r="AA59" s="122"/>
      <c r="AB59" s="8"/>
      <c r="AC59" s="8"/>
    </row>
    <row r="60" spans="1:29" s="15" customFormat="1" ht="15.75" customHeight="1">
      <c r="A60" s="65" t="s">
        <v>27</v>
      </c>
      <c r="B60" s="66"/>
      <c r="C60" s="70"/>
      <c r="D60" s="70"/>
      <c r="E60" s="66"/>
      <c r="F60" s="70"/>
      <c r="G60" s="70"/>
      <c r="H60" s="66"/>
      <c r="I60" s="70"/>
      <c r="J60" s="70"/>
      <c r="K60" s="66"/>
      <c r="L60" s="70"/>
      <c r="M60" s="70"/>
      <c r="N60" s="66"/>
      <c r="O60" s="70"/>
      <c r="P60" s="70"/>
      <c r="Q60" s="66"/>
      <c r="R60" s="70"/>
      <c r="S60" s="70"/>
      <c r="T60" s="66"/>
      <c r="U60" s="70"/>
      <c r="V60" s="70"/>
      <c r="W60" s="66"/>
      <c r="X60" s="70"/>
      <c r="Y60" s="70"/>
      <c r="Z60" s="105"/>
      <c r="AA60" s="122"/>
      <c r="AB60" s="8"/>
      <c r="AC60" s="8"/>
    </row>
    <row r="61" spans="1:29" s="15" customFormat="1" ht="15.75" customHeight="1">
      <c r="A61" s="65" t="s">
        <v>28</v>
      </c>
      <c r="B61" s="66"/>
      <c r="C61" s="70"/>
      <c r="D61" s="70"/>
      <c r="E61" s="66"/>
      <c r="F61" s="70"/>
      <c r="G61" s="70"/>
      <c r="H61" s="66"/>
      <c r="I61" s="70"/>
      <c r="J61" s="70"/>
      <c r="K61" s="66"/>
      <c r="L61" s="70"/>
      <c r="M61" s="70"/>
      <c r="N61" s="66"/>
      <c r="O61" s="70"/>
      <c r="P61" s="70"/>
      <c r="Q61" s="66"/>
      <c r="R61" s="70"/>
      <c r="S61" s="70"/>
      <c r="T61" s="66"/>
      <c r="U61" s="70"/>
      <c r="V61" s="70"/>
      <c r="W61" s="66"/>
      <c r="X61" s="70"/>
      <c r="Y61" s="70"/>
      <c r="Z61" s="105"/>
      <c r="AA61" s="122"/>
      <c r="AB61" s="8"/>
      <c r="AC61" s="8"/>
    </row>
    <row r="62" spans="1:29" s="15" customFormat="1" ht="15.75" customHeight="1">
      <c r="A62" s="65" t="s">
        <v>29</v>
      </c>
      <c r="B62" s="66"/>
      <c r="C62" s="70"/>
      <c r="D62" s="70"/>
      <c r="E62" s="66"/>
      <c r="F62" s="70"/>
      <c r="G62" s="70"/>
      <c r="H62" s="66"/>
      <c r="I62" s="70"/>
      <c r="J62" s="70"/>
      <c r="K62" s="66"/>
      <c r="L62" s="70"/>
      <c r="M62" s="70"/>
      <c r="N62" s="66"/>
      <c r="O62" s="70"/>
      <c r="P62" s="70"/>
      <c r="Q62" s="66"/>
      <c r="R62" s="70"/>
      <c r="S62" s="70"/>
      <c r="T62" s="66"/>
      <c r="U62" s="70"/>
      <c r="V62" s="70"/>
      <c r="W62" s="66"/>
      <c r="X62" s="70"/>
      <c r="Y62" s="70"/>
      <c r="Z62" s="105"/>
      <c r="AA62" s="122"/>
      <c r="AB62" s="8"/>
      <c r="AC62" s="8"/>
    </row>
    <row r="63" spans="1:29" s="15" customFormat="1" ht="15.75" customHeight="1">
      <c r="A63" s="65" t="s">
        <v>30</v>
      </c>
      <c r="B63" s="66"/>
      <c r="C63" s="70"/>
      <c r="D63" s="70"/>
      <c r="E63" s="66"/>
      <c r="F63" s="70"/>
      <c r="G63" s="70"/>
      <c r="H63" s="66"/>
      <c r="I63" s="70"/>
      <c r="J63" s="70"/>
      <c r="K63" s="66"/>
      <c r="L63" s="70"/>
      <c r="M63" s="70"/>
      <c r="N63" s="66"/>
      <c r="O63" s="70"/>
      <c r="P63" s="70"/>
      <c r="Q63" s="66"/>
      <c r="R63" s="70"/>
      <c r="S63" s="70"/>
      <c r="T63" s="66"/>
      <c r="U63" s="70"/>
      <c r="V63" s="70"/>
      <c r="W63" s="66"/>
      <c r="X63" s="70"/>
      <c r="Y63" s="70"/>
      <c r="Z63" s="105"/>
      <c r="AA63" s="122"/>
      <c r="AB63" s="8"/>
      <c r="AC63" s="8"/>
    </row>
    <row r="64" spans="1:29" s="15" customFormat="1" ht="15.75" customHeight="1">
      <c r="A64" s="65" t="s">
        <v>31</v>
      </c>
      <c r="B64" s="66"/>
      <c r="C64" s="70"/>
      <c r="D64" s="70"/>
      <c r="E64" s="66"/>
      <c r="F64" s="70"/>
      <c r="G64" s="70"/>
      <c r="H64" s="66"/>
      <c r="I64" s="70"/>
      <c r="J64" s="70"/>
      <c r="K64" s="66"/>
      <c r="L64" s="70"/>
      <c r="M64" s="70"/>
      <c r="N64" s="66"/>
      <c r="O64" s="70"/>
      <c r="P64" s="70"/>
      <c r="Q64" s="66"/>
      <c r="R64" s="70"/>
      <c r="S64" s="70"/>
      <c r="T64" s="66"/>
      <c r="U64" s="70"/>
      <c r="V64" s="70"/>
      <c r="W64" s="66"/>
      <c r="X64" s="70"/>
      <c r="Y64" s="70"/>
      <c r="Z64" s="105"/>
      <c r="AA64" s="122"/>
      <c r="AB64" s="8"/>
      <c r="AC64" s="8"/>
    </row>
    <row r="65" spans="1:29" s="15" customFormat="1" ht="15.75" customHeight="1">
      <c r="A65" s="65" t="s">
        <v>32</v>
      </c>
      <c r="B65" s="66"/>
      <c r="C65" s="70"/>
      <c r="D65" s="70"/>
      <c r="E65" s="66"/>
      <c r="F65" s="70"/>
      <c r="G65" s="70"/>
      <c r="H65" s="66"/>
      <c r="I65" s="70"/>
      <c r="J65" s="70"/>
      <c r="K65" s="66"/>
      <c r="L65" s="70"/>
      <c r="M65" s="70"/>
      <c r="N65" s="66"/>
      <c r="O65" s="70"/>
      <c r="P65" s="70"/>
      <c r="Q65" s="66"/>
      <c r="R65" s="70"/>
      <c r="S65" s="70"/>
      <c r="T65" s="66"/>
      <c r="U65" s="70"/>
      <c r="V65" s="70"/>
      <c r="W65" s="66"/>
      <c r="X65" s="70"/>
      <c r="Y65" s="70"/>
      <c r="Z65" s="105"/>
      <c r="AA65" s="122"/>
      <c r="AB65" s="8"/>
      <c r="AC65" s="8"/>
    </row>
    <row r="66" spans="1:29" s="15" customFormat="1" ht="15.75" customHeight="1">
      <c r="A66" s="65" t="s">
        <v>33</v>
      </c>
      <c r="B66" s="66"/>
      <c r="C66" s="70"/>
      <c r="D66" s="70"/>
      <c r="E66" s="66"/>
      <c r="F66" s="70"/>
      <c r="G66" s="70"/>
      <c r="H66" s="66"/>
      <c r="I66" s="70"/>
      <c r="J66" s="70"/>
      <c r="K66" s="66"/>
      <c r="L66" s="70"/>
      <c r="M66" s="70"/>
      <c r="N66" s="66"/>
      <c r="O66" s="70"/>
      <c r="P66" s="70"/>
      <c r="Q66" s="66"/>
      <c r="R66" s="70"/>
      <c r="S66" s="70"/>
      <c r="T66" s="66"/>
      <c r="U66" s="70"/>
      <c r="V66" s="70"/>
      <c r="W66" s="66"/>
      <c r="X66" s="70"/>
      <c r="Y66" s="70"/>
      <c r="Z66" s="105"/>
      <c r="AA66" s="122"/>
      <c r="AB66" s="8"/>
      <c r="AC66" s="8"/>
    </row>
    <row r="67" spans="1:29" s="15" customFormat="1" ht="15.75" customHeight="1">
      <c r="A67" s="65" t="s">
        <v>34</v>
      </c>
      <c r="B67" s="66"/>
      <c r="C67" s="70"/>
      <c r="D67" s="70"/>
      <c r="E67" s="66"/>
      <c r="F67" s="70"/>
      <c r="G67" s="70"/>
      <c r="H67" s="66"/>
      <c r="I67" s="70"/>
      <c r="J67" s="70"/>
      <c r="K67" s="66"/>
      <c r="L67" s="70"/>
      <c r="M67" s="70"/>
      <c r="N67" s="66"/>
      <c r="O67" s="70"/>
      <c r="P67" s="70"/>
      <c r="Q67" s="66"/>
      <c r="R67" s="70"/>
      <c r="S67" s="70"/>
      <c r="T67" s="66"/>
      <c r="U67" s="70"/>
      <c r="V67" s="70"/>
      <c r="W67" s="66"/>
      <c r="X67" s="70"/>
      <c r="Y67" s="70"/>
      <c r="Z67" s="105"/>
      <c r="AA67" s="122"/>
      <c r="AB67" s="8"/>
      <c r="AC67" s="8"/>
    </row>
    <row r="68" spans="1:29" s="15" customFormat="1" ht="15.75" customHeight="1">
      <c r="A68" s="65" t="s">
        <v>35</v>
      </c>
      <c r="B68" s="66"/>
      <c r="C68" s="70"/>
      <c r="D68" s="70"/>
      <c r="E68" s="66"/>
      <c r="F68" s="70"/>
      <c r="G68" s="70"/>
      <c r="H68" s="66"/>
      <c r="I68" s="70"/>
      <c r="J68" s="70"/>
      <c r="K68" s="66"/>
      <c r="L68" s="70"/>
      <c r="M68" s="70"/>
      <c r="N68" s="66"/>
      <c r="O68" s="70"/>
      <c r="P68" s="70"/>
      <c r="Q68" s="66"/>
      <c r="R68" s="70"/>
      <c r="S68" s="70"/>
      <c r="T68" s="66"/>
      <c r="U68" s="70"/>
      <c r="V68" s="70"/>
      <c r="W68" s="66"/>
      <c r="X68" s="70"/>
      <c r="Y68" s="70"/>
      <c r="Z68" s="105"/>
      <c r="AA68" s="122"/>
      <c r="AB68" s="8"/>
      <c r="AC68" s="8"/>
    </row>
    <row r="69" spans="1:29" s="15" customFormat="1" ht="15.75" customHeight="1">
      <c r="A69" s="65" t="s">
        <v>36</v>
      </c>
      <c r="B69" s="66"/>
      <c r="C69" s="70"/>
      <c r="D69" s="70"/>
      <c r="E69" s="66"/>
      <c r="F69" s="70"/>
      <c r="G69" s="70"/>
      <c r="H69" s="66"/>
      <c r="I69" s="70"/>
      <c r="J69" s="70"/>
      <c r="K69" s="66"/>
      <c r="L69" s="70"/>
      <c r="M69" s="70"/>
      <c r="N69" s="66"/>
      <c r="O69" s="70"/>
      <c r="P69" s="70"/>
      <c r="Q69" s="66"/>
      <c r="R69" s="70"/>
      <c r="S69" s="70"/>
      <c r="T69" s="66"/>
      <c r="U69" s="70"/>
      <c r="V69" s="70"/>
      <c r="W69" s="66"/>
      <c r="X69" s="70"/>
      <c r="Y69" s="70"/>
      <c r="Z69" s="105"/>
      <c r="AA69" s="122"/>
      <c r="AB69" s="8"/>
      <c r="AC69" s="8"/>
    </row>
    <row r="70" spans="1:29" s="15" customFormat="1" ht="15.75" customHeight="1">
      <c r="A70" s="65" t="s">
        <v>37</v>
      </c>
      <c r="B70" s="66"/>
      <c r="C70" s="70"/>
      <c r="D70" s="70"/>
      <c r="E70" s="66"/>
      <c r="F70" s="70"/>
      <c r="G70" s="70"/>
      <c r="H70" s="66"/>
      <c r="I70" s="70"/>
      <c r="J70" s="70"/>
      <c r="K70" s="66"/>
      <c r="L70" s="70"/>
      <c r="M70" s="70"/>
      <c r="N70" s="66"/>
      <c r="O70" s="70"/>
      <c r="P70" s="70"/>
      <c r="Q70" s="66"/>
      <c r="R70" s="70"/>
      <c r="S70" s="70"/>
      <c r="T70" s="66"/>
      <c r="U70" s="70"/>
      <c r="V70" s="70"/>
      <c r="W70" s="66"/>
      <c r="X70" s="70"/>
      <c r="Y70" s="70"/>
      <c r="Z70" s="105"/>
      <c r="AA70" s="122"/>
      <c r="AB70" s="8"/>
      <c r="AC70" s="8"/>
    </row>
    <row r="71" spans="1:29" s="15" customFormat="1" ht="15.75" customHeight="1">
      <c r="A71" s="65" t="s">
        <v>38</v>
      </c>
      <c r="B71" s="66"/>
      <c r="C71" s="70"/>
      <c r="D71" s="70"/>
      <c r="E71" s="66"/>
      <c r="F71" s="70"/>
      <c r="G71" s="70"/>
      <c r="H71" s="66"/>
      <c r="I71" s="70"/>
      <c r="J71" s="70"/>
      <c r="K71" s="66"/>
      <c r="L71" s="70"/>
      <c r="M71" s="70"/>
      <c r="N71" s="66"/>
      <c r="O71" s="70"/>
      <c r="P71" s="70"/>
      <c r="Q71" s="66"/>
      <c r="R71" s="70"/>
      <c r="S71" s="70"/>
      <c r="T71" s="66"/>
      <c r="U71" s="70"/>
      <c r="V71" s="70"/>
      <c r="W71" s="66"/>
      <c r="X71" s="70"/>
      <c r="Y71" s="70"/>
      <c r="Z71" s="105"/>
      <c r="AA71" s="122"/>
      <c r="AB71" s="8"/>
      <c r="AC71" s="8"/>
    </row>
    <row r="72" spans="1:29" s="15" customFormat="1" ht="15.75" customHeight="1">
      <c r="A72" s="65" t="s">
        <v>39</v>
      </c>
      <c r="B72" s="66"/>
      <c r="C72" s="70"/>
      <c r="D72" s="70"/>
      <c r="E72" s="66"/>
      <c r="F72" s="70"/>
      <c r="G72" s="70"/>
      <c r="H72" s="66"/>
      <c r="I72" s="70"/>
      <c r="J72" s="70"/>
      <c r="K72" s="66"/>
      <c r="L72" s="70"/>
      <c r="M72" s="70"/>
      <c r="N72" s="66"/>
      <c r="O72" s="70"/>
      <c r="P72" s="70"/>
      <c r="Q72" s="66"/>
      <c r="R72" s="70"/>
      <c r="S72" s="70"/>
      <c r="T72" s="66"/>
      <c r="U72" s="70"/>
      <c r="V72" s="70"/>
      <c r="W72" s="66"/>
      <c r="X72" s="70"/>
      <c r="Y72" s="70"/>
      <c r="Z72" s="105"/>
      <c r="AA72" s="122"/>
      <c r="AB72" s="8"/>
      <c r="AC72" s="8"/>
    </row>
    <row r="73" spans="1:29" s="15" customFormat="1" ht="15.75" customHeight="1">
      <c r="A73" s="65" t="s">
        <v>40</v>
      </c>
      <c r="B73" s="66"/>
      <c r="C73" s="70"/>
      <c r="D73" s="70"/>
      <c r="E73" s="66"/>
      <c r="F73" s="70"/>
      <c r="G73" s="70"/>
      <c r="H73" s="66"/>
      <c r="I73" s="70"/>
      <c r="J73" s="70"/>
      <c r="K73" s="66"/>
      <c r="L73" s="70"/>
      <c r="M73" s="70"/>
      <c r="N73" s="66"/>
      <c r="O73" s="70"/>
      <c r="P73" s="70"/>
      <c r="Q73" s="66"/>
      <c r="R73" s="70"/>
      <c r="S73" s="70"/>
      <c r="T73" s="66"/>
      <c r="U73" s="70"/>
      <c r="V73" s="70"/>
      <c r="W73" s="66"/>
      <c r="X73" s="70"/>
      <c r="Y73" s="70"/>
      <c r="Z73" s="105"/>
      <c r="AA73" s="122"/>
      <c r="AB73" s="8"/>
      <c r="AC73" s="8"/>
    </row>
    <row r="74" spans="1:29" s="15" customFormat="1" ht="15.75" customHeight="1">
      <c r="A74" s="65" t="s">
        <v>41</v>
      </c>
      <c r="B74" s="66"/>
      <c r="C74" s="70"/>
      <c r="D74" s="70"/>
      <c r="E74" s="66"/>
      <c r="F74" s="70"/>
      <c r="G74" s="70"/>
      <c r="H74" s="66"/>
      <c r="I74" s="70"/>
      <c r="J74" s="70"/>
      <c r="K74" s="66"/>
      <c r="L74" s="70"/>
      <c r="M74" s="70"/>
      <c r="N74" s="66"/>
      <c r="O74" s="70"/>
      <c r="P74" s="70"/>
      <c r="Q74" s="66"/>
      <c r="R74" s="70"/>
      <c r="S74" s="70"/>
      <c r="T74" s="66"/>
      <c r="U74" s="70"/>
      <c r="V74" s="70"/>
      <c r="W74" s="66"/>
      <c r="X74" s="70"/>
      <c r="Y74" s="70"/>
      <c r="Z74" s="105"/>
      <c r="AA74" s="122"/>
      <c r="AB74" s="8"/>
      <c r="AC74" s="8"/>
    </row>
    <row r="75" spans="1:29" s="15" customFormat="1" ht="15.75" customHeight="1">
      <c r="A75" s="65" t="s">
        <v>42</v>
      </c>
      <c r="B75" s="66"/>
      <c r="C75" s="70"/>
      <c r="D75" s="70"/>
      <c r="E75" s="66"/>
      <c r="F75" s="70"/>
      <c r="G75" s="70"/>
      <c r="H75" s="66"/>
      <c r="I75" s="70"/>
      <c r="J75" s="70"/>
      <c r="K75" s="66"/>
      <c r="L75" s="70"/>
      <c r="M75" s="70"/>
      <c r="N75" s="66"/>
      <c r="O75" s="70"/>
      <c r="P75" s="70"/>
      <c r="Q75" s="66"/>
      <c r="R75" s="70"/>
      <c r="S75" s="70"/>
      <c r="T75" s="66"/>
      <c r="U75" s="70"/>
      <c r="V75" s="70"/>
      <c r="W75" s="66"/>
      <c r="X75" s="70"/>
      <c r="Y75" s="70"/>
      <c r="Z75" s="105"/>
      <c r="AA75" s="122"/>
    </row>
    <row r="76" spans="1:29" s="15" customFormat="1" ht="15.75" customHeight="1">
      <c r="A76" s="65" t="s">
        <v>43</v>
      </c>
      <c r="B76" s="66"/>
      <c r="C76" s="70"/>
      <c r="D76" s="70"/>
      <c r="E76" s="66"/>
      <c r="F76" s="70"/>
      <c r="G76" s="70"/>
      <c r="H76" s="66"/>
      <c r="I76" s="70"/>
      <c r="J76" s="70"/>
      <c r="K76" s="66"/>
      <c r="L76" s="70"/>
      <c r="M76" s="70"/>
      <c r="N76" s="66"/>
      <c r="O76" s="70"/>
      <c r="P76" s="70"/>
      <c r="Q76" s="66"/>
      <c r="R76" s="70"/>
      <c r="S76" s="70"/>
      <c r="T76" s="66"/>
      <c r="U76" s="70"/>
      <c r="V76" s="70"/>
      <c r="W76" s="66"/>
      <c r="X76" s="70"/>
      <c r="Y76" s="70"/>
      <c r="Z76" s="105"/>
      <c r="AA76" s="122"/>
    </row>
    <row r="77" spans="1:29" s="15" customFormat="1" ht="15.75" customHeight="1">
      <c r="A77" s="65" t="s">
        <v>44</v>
      </c>
      <c r="B77" s="66"/>
      <c r="C77" s="70"/>
      <c r="D77" s="70"/>
      <c r="E77" s="66"/>
      <c r="F77" s="70"/>
      <c r="G77" s="70"/>
      <c r="H77" s="66"/>
      <c r="I77" s="70"/>
      <c r="J77" s="70"/>
      <c r="K77" s="66"/>
      <c r="L77" s="70"/>
      <c r="M77" s="70"/>
      <c r="N77" s="66"/>
      <c r="O77" s="70"/>
      <c r="P77" s="70"/>
      <c r="Q77" s="66"/>
      <c r="R77" s="70"/>
      <c r="S77" s="70"/>
      <c r="T77" s="66"/>
      <c r="U77" s="70"/>
      <c r="V77" s="70"/>
      <c r="W77" s="66"/>
      <c r="X77" s="70"/>
      <c r="Y77" s="70"/>
      <c r="Z77" s="105"/>
      <c r="AA77" s="122"/>
    </row>
    <row r="78" spans="1:29" s="15" customFormat="1" ht="15.75" customHeight="1" thickBot="1">
      <c r="A78" s="65" t="s">
        <v>45</v>
      </c>
      <c r="B78" s="66"/>
      <c r="C78" s="70"/>
      <c r="D78" s="70"/>
      <c r="E78" s="66"/>
      <c r="F78" s="70"/>
      <c r="G78" s="70"/>
      <c r="H78" s="66"/>
      <c r="I78" s="70"/>
      <c r="J78" s="70"/>
      <c r="K78" s="66"/>
      <c r="L78" s="70"/>
      <c r="M78" s="70"/>
      <c r="N78" s="66"/>
      <c r="O78" s="70"/>
      <c r="P78" s="70"/>
      <c r="Q78" s="66"/>
      <c r="R78" s="70"/>
      <c r="S78" s="70"/>
      <c r="T78" s="66"/>
      <c r="U78" s="70"/>
      <c r="V78" s="70"/>
      <c r="W78" s="66"/>
      <c r="X78" s="70"/>
      <c r="Y78" s="70"/>
      <c r="Z78" s="123"/>
      <c r="AA78" s="124"/>
    </row>
    <row r="79" spans="1:29" s="20" customFormat="1" ht="16.5" customHeight="1" thickTop="1">
      <c r="A79" s="199" t="s">
        <v>46</v>
      </c>
      <c r="B79" s="200"/>
      <c r="C79" s="17">
        <f>SUM(C48:C76)</f>
        <v>0</v>
      </c>
      <c r="D79" s="18">
        <f>MAX(D48:D76)</f>
        <v>0</v>
      </c>
      <c r="E79" s="75" t="s">
        <v>48</v>
      </c>
      <c r="F79" s="17">
        <f>SUM(F48:F76)</f>
        <v>0</v>
      </c>
      <c r="G79" s="18">
        <f>MAX(G48:G76)</f>
        <v>0</v>
      </c>
      <c r="H79" s="75" t="s">
        <v>48</v>
      </c>
      <c r="I79" s="17">
        <f>SUM(I48:I76)</f>
        <v>0</v>
      </c>
      <c r="J79" s="18">
        <f>MAX(J48:J76)</f>
        <v>0</v>
      </c>
      <c r="K79" s="75"/>
      <c r="L79" s="17">
        <f>SUM(L48:L76)</f>
        <v>0</v>
      </c>
      <c r="M79" s="18">
        <f>MAX(M48:M76)</f>
        <v>0</v>
      </c>
      <c r="N79" s="75"/>
      <c r="O79" s="17">
        <f>SUM(O48:O76)</f>
        <v>0</v>
      </c>
      <c r="P79" s="18">
        <f>MAX(P48:P76)</f>
        <v>0</v>
      </c>
      <c r="Q79" s="75"/>
      <c r="R79" s="17">
        <f>SUM(R48:R76)</f>
        <v>0</v>
      </c>
      <c r="S79" s="18">
        <f>MAX(S48:S76)</f>
        <v>0</v>
      </c>
      <c r="T79" s="75"/>
      <c r="U79" s="17">
        <f>SUM(U48:U76)</f>
        <v>0</v>
      </c>
      <c r="V79" s="18">
        <f>MAX(V48:V76)</f>
        <v>0</v>
      </c>
      <c r="W79" s="75" t="s">
        <v>48</v>
      </c>
      <c r="X79" s="17">
        <f>SUM(X48:X76)</f>
        <v>0</v>
      </c>
      <c r="Y79" s="18">
        <f>MAX(Y48:Y76)</f>
        <v>0</v>
      </c>
      <c r="Z79" s="17">
        <f>SUM(Z48:Z76)</f>
        <v>0</v>
      </c>
      <c r="AA79" s="26">
        <f>MAX(AA48:AA76)</f>
        <v>0</v>
      </c>
    </row>
    <row r="80" spans="1:29" s="20" customFormat="1" ht="16.5" customHeight="1" thickBot="1">
      <c r="A80" s="201" t="s">
        <v>47</v>
      </c>
      <c r="B80" s="202"/>
      <c r="C80" s="126">
        <f>C79/31</f>
        <v>0</v>
      </c>
      <c r="D80" s="128">
        <f>MAX(D47:D78)</f>
        <v>0</v>
      </c>
      <c r="E80" s="78" t="s">
        <v>48</v>
      </c>
      <c r="F80" s="126">
        <f>F79/31</f>
        <v>0</v>
      </c>
      <c r="G80" s="128">
        <f>MAX(G47:G78)</f>
        <v>0</v>
      </c>
      <c r="H80" s="78" t="s">
        <v>48</v>
      </c>
      <c r="I80" s="126">
        <f>I79/31</f>
        <v>0</v>
      </c>
      <c r="J80" s="128">
        <f>MAX(J47:J78)</f>
        <v>0</v>
      </c>
      <c r="K80" s="78" t="s">
        <v>48</v>
      </c>
      <c r="L80" s="126">
        <f>L79/31</f>
        <v>0</v>
      </c>
      <c r="M80" s="128">
        <f>MAX(M47:M78)</f>
        <v>0</v>
      </c>
      <c r="N80" s="76" t="s">
        <v>48</v>
      </c>
      <c r="O80" s="126">
        <f>O79/31</f>
        <v>0</v>
      </c>
      <c r="P80" s="128">
        <f>MAX(P47:P78)</f>
        <v>0</v>
      </c>
      <c r="Q80" s="76" t="s">
        <v>48</v>
      </c>
      <c r="R80" s="126">
        <f>R79/31</f>
        <v>0</v>
      </c>
      <c r="S80" s="128">
        <f>MAX(S47:S78)</f>
        <v>0</v>
      </c>
      <c r="T80" s="76" t="s">
        <v>48</v>
      </c>
      <c r="U80" s="126">
        <f>U79/31</f>
        <v>0</v>
      </c>
      <c r="V80" s="128">
        <f>MAX(V47:V78)</f>
        <v>0</v>
      </c>
      <c r="W80" s="76" t="s">
        <v>48</v>
      </c>
      <c r="X80" s="126">
        <f>X79/31</f>
        <v>0</v>
      </c>
      <c r="Y80" s="128">
        <f>MAX(Y47:Y78)</f>
        <v>0</v>
      </c>
      <c r="Z80" s="126">
        <f>Z79/31</f>
        <v>0</v>
      </c>
      <c r="AA80" s="128">
        <f>MAX(AA47:AA78)</f>
        <v>0</v>
      </c>
    </row>
    <row r="81" spans="1:27" s="20" customFormat="1" ht="16.5" customHeight="1">
      <c r="A81" s="14"/>
      <c r="B81" s="14"/>
      <c r="C81" s="82"/>
      <c r="D81" s="83"/>
      <c r="E81" s="83"/>
      <c r="F81" s="82"/>
      <c r="G81" s="83"/>
      <c r="H81" s="83"/>
      <c r="I81" s="82"/>
      <c r="J81" s="83"/>
      <c r="K81" s="83"/>
      <c r="L81" s="82"/>
      <c r="M81" s="83"/>
      <c r="N81" s="83"/>
      <c r="O81" s="82"/>
      <c r="P81" s="83"/>
      <c r="Q81" s="83"/>
      <c r="R81" s="82"/>
      <c r="S81" s="83"/>
      <c r="T81" s="83"/>
      <c r="U81" s="82"/>
      <c r="V81" s="83"/>
      <c r="W81" s="83"/>
      <c r="X81" s="82"/>
      <c r="Y81" s="83"/>
      <c r="Z81" s="82"/>
      <c r="AA81" s="22"/>
    </row>
    <row r="82" spans="1:27" s="20" customFormat="1" ht="16.5" customHeight="1" thickBot="1">
      <c r="A82" s="125"/>
      <c r="B82" s="125"/>
      <c r="C82" s="125"/>
      <c r="D82" s="125"/>
      <c r="E82" s="125"/>
      <c r="F82" s="125"/>
      <c r="G82" s="94"/>
      <c r="H82" s="94"/>
      <c r="I82" s="93"/>
      <c r="J82" s="94"/>
      <c r="K82" s="94"/>
      <c r="L82" s="93"/>
      <c r="M82" s="94"/>
      <c r="N82" s="94"/>
      <c r="O82" s="93"/>
      <c r="P82" s="94"/>
      <c r="Q82" s="94"/>
      <c r="R82" s="93"/>
      <c r="S82" s="94"/>
      <c r="T82" s="94"/>
      <c r="U82" s="93"/>
      <c r="V82" s="94"/>
      <c r="W82" s="94"/>
      <c r="X82" s="93"/>
      <c r="Y82" s="94"/>
      <c r="Z82" s="93"/>
      <c r="AA82" s="27"/>
    </row>
    <row r="83" spans="1:27" s="8" customFormat="1" ht="21" customHeight="1">
      <c r="A83" s="197" t="s">
        <v>49</v>
      </c>
      <c r="B83" s="89" t="s">
        <v>59</v>
      </c>
      <c r="C83" s="90"/>
      <c r="D83" s="90"/>
      <c r="E83" s="89" t="s">
        <v>60</v>
      </c>
      <c r="F83" s="90"/>
      <c r="G83" s="90"/>
      <c r="H83" s="89" t="s">
        <v>61</v>
      </c>
      <c r="I83" s="90"/>
      <c r="J83" s="91"/>
      <c r="K83" s="89" t="s">
        <v>62</v>
      </c>
      <c r="L83" s="90"/>
      <c r="M83" s="91"/>
      <c r="N83" s="95"/>
      <c r="O83" s="96" t="s">
        <v>63</v>
      </c>
      <c r="P83" s="96"/>
      <c r="Q83" s="97"/>
      <c r="R83" s="96" t="s">
        <v>64</v>
      </c>
      <c r="S83" s="98"/>
      <c r="T83" s="99"/>
      <c r="U83" s="96" t="s">
        <v>65</v>
      </c>
      <c r="V83" s="98"/>
      <c r="W83" s="52" t="s">
        <v>66</v>
      </c>
      <c r="X83" s="53"/>
      <c r="Y83" s="54"/>
      <c r="Z83" s="90"/>
      <c r="AA83" s="28"/>
    </row>
    <row r="84" spans="1:27" s="8" customFormat="1" ht="21" customHeight="1">
      <c r="A84" s="198"/>
      <c r="B84" s="57" t="s">
        <v>8</v>
      </c>
      <c r="C84" s="58"/>
      <c r="D84" s="58"/>
      <c r="E84" s="57" t="s">
        <v>11</v>
      </c>
      <c r="F84" s="58"/>
      <c r="G84" s="59"/>
      <c r="H84" s="57" t="s">
        <v>11</v>
      </c>
      <c r="I84" s="58"/>
      <c r="J84" s="59"/>
      <c r="K84" s="57" t="s">
        <v>11</v>
      </c>
      <c r="L84" s="58"/>
      <c r="M84" s="59"/>
      <c r="N84" s="100"/>
      <c r="O84" s="57"/>
      <c r="P84" s="58"/>
      <c r="Q84" s="57"/>
      <c r="R84" s="58"/>
      <c r="S84" s="59"/>
      <c r="T84" s="203" t="s">
        <v>67</v>
      </c>
      <c r="U84" s="204"/>
      <c r="V84" s="205"/>
      <c r="W84" s="203" t="s">
        <v>11</v>
      </c>
      <c r="X84" s="204"/>
      <c r="Y84" s="205"/>
      <c r="Z84" s="58"/>
      <c r="AA84" s="11"/>
    </row>
    <row r="85" spans="1:27" s="8" customFormat="1" ht="21" customHeight="1">
      <c r="A85" s="198"/>
      <c r="B85" s="61" t="s">
        <v>159</v>
      </c>
      <c r="C85" s="62" t="s">
        <v>160</v>
      </c>
      <c r="D85" s="62" t="s">
        <v>161</v>
      </c>
      <c r="E85" s="61" t="s">
        <v>159</v>
      </c>
      <c r="F85" s="62" t="s">
        <v>160</v>
      </c>
      <c r="G85" s="62" t="s">
        <v>161</v>
      </c>
      <c r="H85" s="61" t="s">
        <v>159</v>
      </c>
      <c r="I85" s="101" t="s">
        <v>160</v>
      </c>
      <c r="J85" s="62" t="s">
        <v>161</v>
      </c>
      <c r="K85" s="61" t="s">
        <v>159</v>
      </c>
      <c r="L85" s="62" t="s">
        <v>160</v>
      </c>
      <c r="M85" s="63" t="s">
        <v>161</v>
      </c>
      <c r="N85" s="61" t="s">
        <v>159</v>
      </c>
      <c r="O85" s="121" t="s">
        <v>160</v>
      </c>
      <c r="P85" s="63" t="s">
        <v>161</v>
      </c>
      <c r="Q85" s="61" t="s">
        <v>159</v>
      </c>
      <c r="R85" s="121" t="s">
        <v>160</v>
      </c>
      <c r="S85" s="63" t="s">
        <v>161</v>
      </c>
      <c r="T85" s="61" t="s">
        <v>159</v>
      </c>
      <c r="U85" s="62" t="s">
        <v>160</v>
      </c>
      <c r="V85" s="102" t="s">
        <v>161</v>
      </c>
      <c r="W85" s="61" t="s">
        <v>159</v>
      </c>
      <c r="X85" s="62" t="s">
        <v>160</v>
      </c>
      <c r="Y85" s="63" t="s">
        <v>161</v>
      </c>
      <c r="Z85" s="62"/>
      <c r="AA85" s="29"/>
    </row>
    <row r="86" spans="1:27" s="15" customFormat="1" ht="16.5" customHeight="1">
      <c r="A86" s="65" t="s">
        <v>68</v>
      </c>
      <c r="B86" s="129"/>
      <c r="C86" s="68"/>
      <c r="D86" s="68"/>
      <c r="E86" s="129"/>
      <c r="F86" s="68"/>
      <c r="G86" s="68"/>
      <c r="H86" s="129"/>
      <c r="I86" s="68"/>
      <c r="J86" s="68"/>
      <c r="K86" s="129"/>
      <c r="L86" s="68"/>
      <c r="M86" s="68"/>
      <c r="N86" s="129"/>
      <c r="O86" s="119"/>
      <c r="P86" s="68"/>
      <c r="Q86" s="129"/>
      <c r="R86" s="119"/>
      <c r="S86" s="68"/>
      <c r="T86" s="129"/>
      <c r="U86" s="68"/>
      <c r="V86" s="68"/>
      <c r="W86" s="129"/>
      <c r="X86" s="68"/>
      <c r="Y86" s="69"/>
      <c r="Z86" s="104"/>
      <c r="AA86" s="30"/>
    </row>
    <row r="87" spans="1:27" s="15" customFormat="1" ht="16.5" customHeight="1">
      <c r="A87" s="65" t="s">
        <v>15</v>
      </c>
      <c r="B87" s="66"/>
      <c r="C87" s="70"/>
      <c r="D87" s="70"/>
      <c r="E87" s="66"/>
      <c r="F87" s="70"/>
      <c r="G87" s="70"/>
      <c r="H87" s="92"/>
      <c r="I87" s="70"/>
      <c r="J87" s="70"/>
      <c r="K87" s="66"/>
      <c r="L87" s="70"/>
      <c r="M87" s="105"/>
      <c r="N87" s="105"/>
      <c r="O87" s="120"/>
      <c r="P87" s="70"/>
      <c r="Q87" s="66"/>
      <c r="R87" s="120"/>
      <c r="S87" s="70"/>
      <c r="T87" s="66"/>
      <c r="U87" s="70"/>
      <c r="V87" s="70"/>
      <c r="W87" s="66"/>
      <c r="X87" s="70"/>
      <c r="Y87" s="70"/>
      <c r="Z87" s="104"/>
      <c r="AA87" s="30"/>
    </row>
    <row r="88" spans="1:27" s="15" customFormat="1" ht="16.5" customHeight="1">
      <c r="A88" s="65" t="s">
        <v>16</v>
      </c>
      <c r="B88" s="66"/>
      <c r="C88" s="70"/>
      <c r="D88" s="70"/>
      <c r="E88" s="66"/>
      <c r="F88" s="70"/>
      <c r="G88" s="70"/>
      <c r="H88" s="92"/>
      <c r="I88" s="70"/>
      <c r="J88" s="70"/>
      <c r="K88" s="66"/>
      <c r="L88" s="70"/>
      <c r="M88" s="105"/>
      <c r="N88" s="66"/>
      <c r="O88" s="120"/>
      <c r="P88" s="70"/>
      <c r="Q88" s="103"/>
      <c r="R88" s="120"/>
      <c r="S88" s="70"/>
      <c r="T88" s="66"/>
      <c r="U88" s="70"/>
      <c r="V88" s="70"/>
      <c r="W88" s="66"/>
      <c r="X88" s="70"/>
      <c r="Y88" s="70"/>
      <c r="Z88" s="67"/>
      <c r="AA88" s="16"/>
    </row>
    <row r="89" spans="1:27" s="15" customFormat="1" ht="16.5" customHeight="1">
      <c r="A89" s="65" t="s">
        <v>17</v>
      </c>
      <c r="B89" s="66"/>
      <c r="C89" s="70"/>
      <c r="D89" s="70"/>
      <c r="E89" s="66"/>
      <c r="F89" s="70"/>
      <c r="G89" s="70"/>
      <c r="H89" s="92"/>
      <c r="I89" s="70"/>
      <c r="J89" s="70"/>
      <c r="K89" s="66"/>
      <c r="L89" s="70"/>
      <c r="M89" s="105"/>
      <c r="N89" s="66"/>
      <c r="O89" s="120"/>
      <c r="P89" s="70"/>
      <c r="Q89" s="103"/>
      <c r="R89" s="120"/>
      <c r="S89" s="70"/>
      <c r="T89" s="66"/>
      <c r="U89" s="70"/>
      <c r="V89" s="70"/>
      <c r="W89" s="66"/>
      <c r="X89" s="70"/>
      <c r="Y89" s="70"/>
      <c r="Z89" s="67"/>
      <c r="AA89" s="16"/>
    </row>
    <row r="90" spans="1:27" s="15" customFormat="1" ht="16.5" customHeight="1">
      <c r="A90" s="65" t="s">
        <v>18</v>
      </c>
      <c r="B90" s="66"/>
      <c r="C90" s="70"/>
      <c r="D90" s="70"/>
      <c r="E90" s="66"/>
      <c r="F90" s="70"/>
      <c r="G90" s="70"/>
      <c r="H90" s="92"/>
      <c r="I90" s="70"/>
      <c r="J90" s="70"/>
      <c r="K90" s="66"/>
      <c r="L90" s="70"/>
      <c r="M90" s="105"/>
      <c r="N90" s="66"/>
      <c r="O90" s="120"/>
      <c r="P90" s="70"/>
      <c r="Q90" s="103"/>
      <c r="R90" s="120"/>
      <c r="S90" s="70"/>
      <c r="T90" s="66"/>
      <c r="U90" s="70"/>
      <c r="V90" s="70"/>
      <c r="W90" s="66"/>
      <c r="X90" s="70"/>
      <c r="Y90" s="70"/>
      <c r="Z90" s="67"/>
      <c r="AA90" s="16"/>
    </row>
    <row r="91" spans="1:27" s="15" customFormat="1" ht="16.5" customHeight="1">
      <c r="A91" s="65" t="s">
        <v>19</v>
      </c>
      <c r="B91" s="66"/>
      <c r="C91" s="70"/>
      <c r="D91" s="70"/>
      <c r="E91" s="66"/>
      <c r="F91" s="70"/>
      <c r="G91" s="70"/>
      <c r="H91" s="92"/>
      <c r="I91" s="70"/>
      <c r="J91" s="70"/>
      <c r="K91" s="66"/>
      <c r="L91" s="70"/>
      <c r="M91" s="105"/>
      <c r="N91" s="66"/>
      <c r="O91" s="120"/>
      <c r="P91" s="70"/>
      <c r="Q91" s="103"/>
      <c r="R91" s="120"/>
      <c r="S91" s="70"/>
      <c r="T91" s="66"/>
      <c r="U91" s="70"/>
      <c r="V91" s="70"/>
      <c r="W91" s="66"/>
      <c r="X91" s="70"/>
      <c r="Y91" s="70"/>
      <c r="Z91" s="67"/>
      <c r="AA91" s="16"/>
    </row>
    <row r="92" spans="1:27" s="15" customFormat="1" ht="16.5" customHeight="1">
      <c r="A92" s="65" t="s">
        <v>20</v>
      </c>
      <c r="B92" s="66"/>
      <c r="C92" s="70"/>
      <c r="D92" s="70"/>
      <c r="E92" s="66"/>
      <c r="F92" s="70"/>
      <c r="G92" s="70"/>
      <c r="H92" s="92"/>
      <c r="I92" s="70"/>
      <c r="J92" s="70"/>
      <c r="K92" s="66"/>
      <c r="L92" s="70"/>
      <c r="M92" s="105"/>
      <c r="N92" s="66"/>
      <c r="O92" s="120"/>
      <c r="P92" s="70"/>
      <c r="Q92" s="103"/>
      <c r="R92" s="120"/>
      <c r="S92" s="70"/>
      <c r="T92" s="66"/>
      <c r="U92" s="70"/>
      <c r="V92" s="70"/>
      <c r="W92" s="66"/>
      <c r="X92" s="70"/>
      <c r="Y92" s="70"/>
      <c r="Z92" s="67"/>
      <c r="AA92" s="16"/>
    </row>
    <row r="93" spans="1:27" s="15" customFormat="1" ht="16.5" customHeight="1">
      <c r="A93" s="65" t="s">
        <v>21</v>
      </c>
      <c r="B93" s="66"/>
      <c r="C93" s="70"/>
      <c r="D93" s="70"/>
      <c r="E93" s="66"/>
      <c r="F93" s="70"/>
      <c r="G93" s="70"/>
      <c r="H93" s="92"/>
      <c r="I93" s="70"/>
      <c r="J93" s="70"/>
      <c r="K93" s="66"/>
      <c r="L93" s="70"/>
      <c r="M93" s="105"/>
      <c r="N93" s="66"/>
      <c r="O93" s="120"/>
      <c r="P93" s="70"/>
      <c r="Q93" s="103"/>
      <c r="R93" s="120"/>
      <c r="S93" s="70"/>
      <c r="T93" s="66"/>
      <c r="U93" s="70"/>
      <c r="V93" s="70"/>
      <c r="W93" s="66"/>
      <c r="X93" s="70"/>
      <c r="Y93" s="70"/>
      <c r="Z93" s="67"/>
      <c r="AA93" s="16"/>
    </row>
    <row r="94" spans="1:27" s="15" customFormat="1" ht="16.5" customHeight="1">
      <c r="A94" s="65" t="s">
        <v>22</v>
      </c>
      <c r="B94" s="66"/>
      <c r="C94" s="70"/>
      <c r="D94" s="70"/>
      <c r="E94" s="66"/>
      <c r="F94" s="70"/>
      <c r="G94" s="70"/>
      <c r="H94" s="92"/>
      <c r="I94" s="70"/>
      <c r="J94" s="70"/>
      <c r="K94" s="66"/>
      <c r="L94" s="70"/>
      <c r="M94" s="105"/>
      <c r="N94" s="66"/>
      <c r="O94" s="120"/>
      <c r="P94" s="70"/>
      <c r="Q94" s="103"/>
      <c r="R94" s="120"/>
      <c r="S94" s="70"/>
      <c r="T94" s="66"/>
      <c r="U94" s="70"/>
      <c r="V94" s="70"/>
      <c r="W94" s="66"/>
      <c r="X94" s="70"/>
      <c r="Y94" s="70"/>
      <c r="Z94" s="67"/>
      <c r="AA94" s="16"/>
    </row>
    <row r="95" spans="1:27" s="15" customFormat="1" ht="16.5" customHeight="1">
      <c r="A95" s="65" t="s">
        <v>23</v>
      </c>
      <c r="B95" s="66"/>
      <c r="C95" s="70"/>
      <c r="D95" s="70"/>
      <c r="E95" s="66"/>
      <c r="F95" s="70"/>
      <c r="G95" s="70"/>
      <c r="H95" s="92"/>
      <c r="I95" s="70"/>
      <c r="J95" s="70"/>
      <c r="K95" s="66"/>
      <c r="L95" s="70"/>
      <c r="M95" s="105"/>
      <c r="N95" s="66"/>
      <c r="O95" s="120"/>
      <c r="P95" s="70"/>
      <c r="Q95" s="103"/>
      <c r="R95" s="120"/>
      <c r="S95" s="70"/>
      <c r="T95" s="66"/>
      <c r="U95" s="70"/>
      <c r="V95" s="70"/>
      <c r="W95" s="66"/>
      <c r="X95" s="70"/>
      <c r="Y95" s="70"/>
      <c r="Z95" s="67"/>
      <c r="AA95" s="16"/>
    </row>
    <row r="96" spans="1:27" s="15" customFormat="1" ht="16.5" customHeight="1">
      <c r="A96" s="65" t="s">
        <v>24</v>
      </c>
      <c r="B96" s="66"/>
      <c r="C96" s="70"/>
      <c r="D96" s="70"/>
      <c r="E96" s="66"/>
      <c r="F96" s="70"/>
      <c r="G96" s="70"/>
      <c r="H96" s="92"/>
      <c r="I96" s="70"/>
      <c r="J96" s="70"/>
      <c r="K96" s="66"/>
      <c r="L96" s="70"/>
      <c r="M96" s="105"/>
      <c r="N96" s="66"/>
      <c r="O96" s="120"/>
      <c r="P96" s="70"/>
      <c r="Q96" s="103"/>
      <c r="R96" s="120"/>
      <c r="S96" s="70"/>
      <c r="T96" s="66"/>
      <c r="U96" s="70"/>
      <c r="V96" s="70"/>
      <c r="W96" s="66"/>
      <c r="X96" s="70"/>
      <c r="Y96" s="70"/>
      <c r="Z96" s="67"/>
      <c r="AA96" s="16"/>
    </row>
    <row r="97" spans="1:27" s="15" customFormat="1" ht="16.5" customHeight="1">
      <c r="A97" s="65" t="s">
        <v>25</v>
      </c>
      <c r="B97" s="66"/>
      <c r="C97" s="70"/>
      <c r="D97" s="70"/>
      <c r="E97" s="66"/>
      <c r="F97" s="70"/>
      <c r="G97" s="70"/>
      <c r="H97" s="92"/>
      <c r="I97" s="70"/>
      <c r="J97" s="70"/>
      <c r="K97" s="66"/>
      <c r="L97" s="70"/>
      <c r="M97" s="105"/>
      <c r="N97" s="66"/>
      <c r="O97" s="120"/>
      <c r="P97" s="70"/>
      <c r="Q97" s="103"/>
      <c r="R97" s="120"/>
      <c r="S97" s="70"/>
      <c r="T97" s="66"/>
      <c r="U97" s="70"/>
      <c r="V97" s="70"/>
      <c r="W97" s="66"/>
      <c r="X97" s="70"/>
      <c r="Y97" s="70"/>
      <c r="Z97" s="67"/>
      <c r="AA97" s="16"/>
    </row>
    <row r="98" spans="1:27" s="15" customFormat="1" ht="16.5" customHeight="1">
      <c r="A98" s="65" t="s">
        <v>26</v>
      </c>
      <c r="B98" s="66"/>
      <c r="C98" s="70"/>
      <c r="D98" s="70"/>
      <c r="E98" s="66"/>
      <c r="F98" s="70"/>
      <c r="G98" s="70"/>
      <c r="H98" s="92"/>
      <c r="I98" s="70"/>
      <c r="J98" s="70"/>
      <c r="K98" s="66"/>
      <c r="L98" s="70"/>
      <c r="M98" s="105"/>
      <c r="N98" s="66"/>
      <c r="O98" s="120"/>
      <c r="P98" s="70"/>
      <c r="Q98" s="103"/>
      <c r="R98" s="120"/>
      <c r="S98" s="70"/>
      <c r="T98" s="66"/>
      <c r="U98" s="70"/>
      <c r="V98" s="70"/>
      <c r="W98" s="66"/>
      <c r="X98" s="70"/>
      <c r="Y98" s="70"/>
      <c r="Z98" s="67"/>
      <c r="AA98" s="16"/>
    </row>
    <row r="99" spans="1:27" s="15" customFormat="1" ht="16.5" customHeight="1">
      <c r="A99" s="65" t="s">
        <v>27</v>
      </c>
      <c r="B99" s="66"/>
      <c r="C99" s="70"/>
      <c r="D99" s="70"/>
      <c r="E99" s="66"/>
      <c r="F99" s="70"/>
      <c r="G99" s="70"/>
      <c r="H99" s="92"/>
      <c r="I99" s="70"/>
      <c r="J99" s="70"/>
      <c r="K99" s="66"/>
      <c r="L99" s="70"/>
      <c r="M99" s="105"/>
      <c r="N99" s="66"/>
      <c r="O99" s="120"/>
      <c r="P99" s="70"/>
      <c r="Q99" s="103"/>
      <c r="R99" s="120"/>
      <c r="S99" s="70"/>
      <c r="T99" s="66"/>
      <c r="U99" s="70"/>
      <c r="V99" s="70"/>
      <c r="W99" s="66"/>
      <c r="X99" s="70"/>
      <c r="Y99" s="70"/>
      <c r="Z99" s="67"/>
      <c r="AA99" s="16"/>
    </row>
    <row r="100" spans="1:27" s="15" customFormat="1" ht="16.5" customHeight="1">
      <c r="A100" s="65" t="s">
        <v>28</v>
      </c>
      <c r="B100" s="66"/>
      <c r="C100" s="70"/>
      <c r="D100" s="70"/>
      <c r="E100" s="66"/>
      <c r="F100" s="70"/>
      <c r="G100" s="70"/>
      <c r="H100" s="92"/>
      <c r="I100" s="70"/>
      <c r="J100" s="70"/>
      <c r="K100" s="66"/>
      <c r="L100" s="70"/>
      <c r="M100" s="105"/>
      <c r="N100" s="66"/>
      <c r="O100" s="120"/>
      <c r="P100" s="70"/>
      <c r="Q100" s="103"/>
      <c r="R100" s="120"/>
      <c r="S100" s="70"/>
      <c r="T100" s="66"/>
      <c r="U100" s="70"/>
      <c r="V100" s="70"/>
      <c r="W100" s="66"/>
      <c r="X100" s="70"/>
      <c r="Y100" s="70"/>
      <c r="Z100" s="67"/>
      <c r="AA100" s="16"/>
    </row>
    <row r="101" spans="1:27" s="15" customFormat="1" ht="16.5" customHeight="1">
      <c r="A101" s="65" t="s">
        <v>29</v>
      </c>
      <c r="B101" s="66"/>
      <c r="C101" s="70"/>
      <c r="D101" s="70"/>
      <c r="E101" s="66"/>
      <c r="F101" s="70"/>
      <c r="G101" s="70"/>
      <c r="H101" s="92"/>
      <c r="I101" s="70"/>
      <c r="J101" s="70"/>
      <c r="K101" s="66"/>
      <c r="L101" s="70"/>
      <c r="M101" s="105"/>
      <c r="N101" s="66"/>
      <c r="O101" s="120"/>
      <c r="P101" s="70"/>
      <c r="Q101" s="103"/>
      <c r="R101" s="120"/>
      <c r="S101" s="70"/>
      <c r="T101" s="66"/>
      <c r="U101" s="70"/>
      <c r="V101" s="70"/>
      <c r="W101" s="66"/>
      <c r="X101" s="70"/>
      <c r="Y101" s="70"/>
      <c r="Z101" s="67"/>
      <c r="AA101" s="16"/>
    </row>
    <row r="102" spans="1:27" s="15" customFormat="1" ht="16.5" customHeight="1">
      <c r="A102" s="65" t="s">
        <v>30</v>
      </c>
      <c r="B102" s="66"/>
      <c r="C102" s="70"/>
      <c r="D102" s="70"/>
      <c r="E102" s="66"/>
      <c r="F102" s="70"/>
      <c r="G102" s="70"/>
      <c r="H102" s="92"/>
      <c r="I102" s="70"/>
      <c r="J102" s="70"/>
      <c r="K102" s="66"/>
      <c r="L102" s="70"/>
      <c r="M102" s="105"/>
      <c r="N102" s="66"/>
      <c r="O102" s="120"/>
      <c r="P102" s="70"/>
      <c r="Q102" s="103"/>
      <c r="R102" s="120"/>
      <c r="S102" s="70"/>
      <c r="T102" s="66"/>
      <c r="U102" s="70"/>
      <c r="V102" s="70"/>
      <c r="W102" s="66"/>
      <c r="X102" s="70"/>
      <c r="Y102" s="70"/>
      <c r="Z102" s="67"/>
      <c r="AA102" s="16"/>
    </row>
    <row r="103" spans="1:27" s="15" customFormat="1" ht="16.5" customHeight="1">
      <c r="A103" s="65" t="s">
        <v>31</v>
      </c>
      <c r="B103" s="66"/>
      <c r="C103" s="70"/>
      <c r="D103" s="70"/>
      <c r="E103" s="66"/>
      <c r="F103" s="70"/>
      <c r="G103" s="70"/>
      <c r="H103" s="92"/>
      <c r="I103" s="70"/>
      <c r="J103" s="70"/>
      <c r="K103" s="66"/>
      <c r="L103" s="70"/>
      <c r="M103" s="105"/>
      <c r="N103" s="66"/>
      <c r="O103" s="120"/>
      <c r="P103" s="70"/>
      <c r="Q103" s="103"/>
      <c r="R103" s="120"/>
      <c r="S103" s="70"/>
      <c r="T103" s="66"/>
      <c r="U103" s="70"/>
      <c r="V103" s="70"/>
      <c r="W103" s="66"/>
      <c r="X103" s="70"/>
      <c r="Y103" s="70"/>
      <c r="Z103" s="67"/>
      <c r="AA103" s="16"/>
    </row>
    <row r="104" spans="1:27" s="15" customFormat="1" ht="16.5" customHeight="1">
      <c r="A104" s="65" t="s">
        <v>32</v>
      </c>
      <c r="B104" s="66"/>
      <c r="C104" s="70"/>
      <c r="D104" s="70"/>
      <c r="E104" s="66"/>
      <c r="F104" s="70"/>
      <c r="G104" s="70"/>
      <c r="H104" s="92"/>
      <c r="I104" s="70"/>
      <c r="J104" s="70"/>
      <c r="K104" s="66"/>
      <c r="L104" s="70"/>
      <c r="M104" s="105"/>
      <c r="N104" s="66"/>
      <c r="O104" s="120"/>
      <c r="P104" s="70"/>
      <c r="Q104" s="103"/>
      <c r="R104" s="120"/>
      <c r="S104" s="70"/>
      <c r="T104" s="66"/>
      <c r="U104" s="70"/>
      <c r="V104" s="70"/>
      <c r="W104" s="66"/>
      <c r="X104" s="70"/>
      <c r="Y104" s="70"/>
      <c r="Z104" s="67"/>
      <c r="AA104" s="16"/>
    </row>
    <row r="105" spans="1:27" s="15" customFormat="1" ht="16.5" customHeight="1">
      <c r="A105" s="65" t="s">
        <v>33</v>
      </c>
      <c r="B105" s="66"/>
      <c r="C105" s="70"/>
      <c r="D105" s="70"/>
      <c r="E105" s="66"/>
      <c r="F105" s="70"/>
      <c r="G105" s="70"/>
      <c r="H105" s="92"/>
      <c r="I105" s="70"/>
      <c r="J105" s="70"/>
      <c r="K105" s="66"/>
      <c r="L105" s="70"/>
      <c r="M105" s="105"/>
      <c r="N105" s="66"/>
      <c r="O105" s="120"/>
      <c r="P105" s="70"/>
      <c r="Q105" s="103"/>
      <c r="R105" s="120"/>
      <c r="S105" s="70"/>
      <c r="T105" s="66"/>
      <c r="U105" s="70"/>
      <c r="V105" s="70"/>
      <c r="W105" s="66"/>
      <c r="X105" s="70"/>
      <c r="Y105" s="70"/>
      <c r="Z105" s="67"/>
      <c r="AA105" s="16"/>
    </row>
    <row r="106" spans="1:27" s="15" customFormat="1" ht="16.5" customHeight="1">
      <c r="A106" s="65" t="s">
        <v>34</v>
      </c>
      <c r="B106" s="66"/>
      <c r="C106" s="70"/>
      <c r="D106" s="70"/>
      <c r="E106" s="66"/>
      <c r="F106" s="70"/>
      <c r="G106" s="70"/>
      <c r="H106" s="92"/>
      <c r="I106" s="70"/>
      <c r="J106" s="70"/>
      <c r="K106" s="66"/>
      <c r="L106" s="70"/>
      <c r="M106" s="105"/>
      <c r="N106" s="66"/>
      <c r="O106" s="120"/>
      <c r="P106" s="70"/>
      <c r="Q106" s="103"/>
      <c r="R106" s="120"/>
      <c r="S106" s="70"/>
      <c r="T106" s="66"/>
      <c r="U106" s="70"/>
      <c r="V106" s="70"/>
      <c r="W106" s="66"/>
      <c r="X106" s="70"/>
      <c r="Y106" s="70"/>
      <c r="Z106" s="67"/>
      <c r="AA106" s="16"/>
    </row>
    <row r="107" spans="1:27" s="15" customFormat="1" ht="16.5" customHeight="1">
      <c r="A107" s="65" t="s">
        <v>35</v>
      </c>
      <c r="B107" s="66"/>
      <c r="C107" s="70"/>
      <c r="D107" s="70"/>
      <c r="E107" s="66"/>
      <c r="F107" s="70"/>
      <c r="G107" s="70"/>
      <c r="H107" s="92"/>
      <c r="I107" s="70"/>
      <c r="J107" s="70"/>
      <c r="K107" s="66"/>
      <c r="L107" s="70"/>
      <c r="M107" s="105"/>
      <c r="N107" s="66"/>
      <c r="O107" s="120"/>
      <c r="P107" s="70"/>
      <c r="Q107" s="103"/>
      <c r="R107" s="120"/>
      <c r="S107" s="70"/>
      <c r="T107" s="66"/>
      <c r="U107" s="70"/>
      <c r="V107" s="70"/>
      <c r="W107" s="66"/>
      <c r="X107" s="70"/>
      <c r="Y107" s="70"/>
      <c r="Z107" s="67"/>
      <c r="AA107" s="16"/>
    </row>
    <row r="108" spans="1:27" s="15" customFormat="1" ht="16.5" customHeight="1">
      <c r="A108" s="65" t="s">
        <v>36</v>
      </c>
      <c r="B108" s="66"/>
      <c r="C108" s="70"/>
      <c r="D108" s="70"/>
      <c r="E108" s="66"/>
      <c r="F108" s="70"/>
      <c r="G108" s="70"/>
      <c r="H108" s="92"/>
      <c r="I108" s="70"/>
      <c r="J108" s="70"/>
      <c r="K108" s="66"/>
      <c r="L108" s="70"/>
      <c r="M108" s="105"/>
      <c r="N108" s="66"/>
      <c r="O108" s="120"/>
      <c r="P108" s="70"/>
      <c r="Q108" s="103"/>
      <c r="R108" s="120"/>
      <c r="S108" s="70"/>
      <c r="T108" s="66"/>
      <c r="U108" s="70"/>
      <c r="V108" s="70"/>
      <c r="W108" s="66"/>
      <c r="X108" s="70"/>
      <c r="Y108" s="70"/>
      <c r="Z108" s="67"/>
      <c r="AA108" s="16"/>
    </row>
    <row r="109" spans="1:27" s="15" customFormat="1" ht="16.5" customHeight="1">
      <c r="A109" s="65" t="s">
        <v>37</v>
      </c>
      <c r="B109" s="66"/>
      <c r="C109" s="70"/>
      <c r="D109" s="70"/>
      <c r="E109" s="66"/>
      <c r="F109" s="70"/>
      <c r="G109" s="70"/>
      <c r="H109" s="92"/>
      <c r="I109" s="70"/>
      <c r="J109" s="70"/>
      <c r="K109" s="66"/>
      <c r="L109" s="70"/>
      <c r="M109" s="105"/>
      <c r="N109" s="66"/>
      <c r="O109" s="120"/>
      <c r="P109" s="70"/>
      <c r="Q109" s="103"/>
      <c r="R109" s="120"/>
      <c r="S109" s="70"/>
      <c r="T109" s="66"/>
      <c r="U109" s="70"/>
      <c r="V109" s="70"/>
      <c r="W109" s="66"/>
      <c r="X109" s="70"/>
      <c r="Y109" s="70"/>
      <c r="Z109" s="67"/>
      <c r="AA109" s="16"/>
    </row>
    <row r="110" spans="1:27" s="15" customFormat="1" ht="16.5" customHeight="1">
      <c r="A110" s="65" t="s">
        <v>38</v>
      </c>
      <c r="B110" s="66"/>
      <c r="C110" s="70"/>
      <c r="D110" s="70"/>
      <c r="E110" s="66"/>
      <c r="F110" s="70"/>
      <c r="G110" s="70"/>
      <c r="H110" s="92"/>
      <c r="I110" s="70"/>
      <c r="J110" s="70"/>
      <c r="K110" s="66"/>
      <c r="L110" s="70"/>
      <c r="M110" s="105"/>
      <c r="N110" s="66"/>
      <c r="O110" s="120"/>
      <c r="P110" s="70"/>
      <c r="Q110" s="103"/>
      <c r="R110" s="120"/>
      <c r="S110" s="70"/>
      <c r="T110" s="66"/>
      <c r="U110" s="70"/>
      <c r="V110" s="70"/>
      <c r="W110" s="66"/>
      <c r="X110" s="70"/>
      <c r="Y110" s="70"/>
      <c r="Z110" s="67"/>
      <c r="AA110" s="16"/>
    </row>
    <row r="111" spans="1:27" s="15" customFormat="1" ht="16.5" customHeight="1">
      <c r="A111" s="65" t="s">
        <v>39</v>
      </c>
      <c r="B111" s="66"/>
      <c r="C111" s="70"/>
      <c r="D111" s="70"/>
      <c r="E111" s="66"/>
      <c r="F111" s="70"/>
      <c r="G111" s="70"/>
      <c r="H111" s="92"/>
      <c r="I111" s="70"/>
      <c r="J111" s="70"/>
      <c r="K111" s="66"/>
      <c r="L111" s="70"/>
      <c r="M111" s="105"/>
      <c r="N111" s="66"/>
      <c r="O111" s="120"/>
      <c r="P111" s="70"/>
      <c r="Q111" s="103"/>
      <c r="R111" s="120"/>
      <c r="S111" s="70"/>
      <c r="T111" s="66"/>
      <c r="U111" s="70"/>
      <c r="V111" s="70"/>
      <c r="W111" s="66"/>
      <c r="X111" s="70"/>
      <c r="Y111" s="70"/>
      <c r="Z111" s="67"/>
      <c r="AA111" s="16"/>
    </row>
    <row r="112" spans="1:27" s="15" customFormat="1" ht="16.5" customHeight="1">
      <c r="A112" s="65" t="s">
        <v>40</v>
      </c>
      <c r="B112" s="66"/>
      <c r="C112" s="70"/>
      <c r="D112" s="70"/>
      <c r="E112" s="66"/>
      <c r="F112" s="70"/>
      <c r="G112" s="70"/>
      <c r="H112" s="92"/>
      <c r="I112" s="70"/>
      <c r="J112" s="70"/>
      <c r="K112" s="66"/>
      <c r="L112" s="70"/>
      <c r="M112" s="105"/>
      <c r="N112" s="66"/>
      <c r="O112" s="120"/>
      <c r="P112" s="70"/>
      <c r="Q112" s="103"/>
      <c r="R112" s="120"/>
      <c r="S112" s="70"/>
      <c r="T112" s="66"/>
      <c r="U112" s="70"/>
      <c r="V112" s="70"/>
      <c r="W112" s="66"/>
      <c r="X112" s="70"/>
      <c r="Y112" s="70"/>
      <c r="Z112" s="67"/>
      <c r="AA112" s="16"/>
    </row>
    <row r="113" spans="1:31" s="15" customFormat="1" ht="16.5" customHeight="1">
      <c r="A113" s="65" t="s">
        <v>41</v>
      </c>
      <c r="B113" s="66"/>
      <c r="C113" s="70"/>
      <c r="D113" s="70"/>
      <c r="E113" s="66"/>
      <c r="F113" s="70"/>
      <c r="G113" s="70"/>
      <c r="H113" s="92"/>
      <c r="I113" s="70"/>
      <c r="J113" s="70"/>
      <c r="K113" s="66"/>
      <c r="L113" s="70"/>
      <c r="M113" s="105"/>
      <c r="N113" s="66"/>
      <c r="O113" s="120"/>
      <c r="P113" s="70"/>
      <c r="Q113" s="103"/>
      <c r="R113" s="120"/>
      <c r="S113" s="70"/>
      <c r="T113" s="66"/>
      <c r="U113" s="70"/>
      <c r="V113" s="70"/>
      <c r="W113" s="66"/>
      <c r="X113" s="70"/>
      <c r="Y113" s="70"/>
      <c r="Z113" s="67"/>
      <c r="AA113" s="16"/>
    </row>
    <row r="114" spans="1:31" s="15" customFormat="1" ht="16.5" customHeight="1">
      <c r="A114" s="65" t="s">
        <v>42</v>
      </c>
      <c r="B114" s="66"/>
      <c r="C114" s="70"/>
      <c r="D114" s="70"/>
      <c r="E114" s="66"/>
      <c r="F114" s="70"/>
      <c r="G114" s="70"/>
      <c r="H114" s="92"/>
      <c r="I114" s="70"/>
      <c r="J114" s="70"/>
      <c r="K114" s="66"/>
      <c r="L114" s="70"/>
      <c r="M114" s="105"/>
      <c r="N114" s="66"/>
      <c r="O114" s="120"/>
      <c r="P114" s="70"/>
      <c r="Q114" s="103"/>
      <c r="R114" s="120"/>
      <c r="S114" s="70"/>
      <c r="T114" s="66"/>
      <c r="U114" s="70"/>
      <c r="V114" s="70"/>
      <c r="W114" s="66"/>
      <c r="X114" s="70"/>
      <c r="Y114" s="70"/>
      <c r="Z114" s="67"/>
      <c r="AA114" s="16"/>
    </row>
    <row r="115" spans="1:31" s="15" customFormat="1" ht="16.5" customHeight="1">
      <c r="A115" s="65" t="s">
        <v>43</v>
      </c>
      <c r="B115" s="66"/>
      <c r="C115" s="70"/>
      <c r="D115" s="70"/>
      <c r="E115" s="66"/>
      <c r="F115" s="70"/>
      <c r="G115" s="70"/>
      <c r="H115" s="92"/>
      <c r="I115" s="70"/>
      <c r="J115" s="70"/>
      <c r="K115" s="66"/>
      <c r="L115" s="70"/>
      <c r="M115" s="105"/>
      <c r="N115" s="66"/>
      <c r="O115" s="120"/>
      <c r="P115" s="70"/>
      <c r="Q115" s="103"/>
      <c r="R115" s="120"/>
      <c r="S115" s="70"/>
      <c r="T115" s="66"/>
      <c r="U115" s="70"/>
      <c r="V115" s="70"/>
      <c r="W115" s="66"/>
      <c r="X115" s="70"/>
      <c r="Y115" s="70"/>
      <c r="Z115" s="67"/>
      <c r="AA115" s="16"/>
    </row>
    <row r="116" spans="1:31" s="15" customFormat="1" ht="16.5" customHeight="1">
      <c r="A116" s="65" t="s">
        <v>44</v>
      </c>
      <c r="B116" s="66"/>
      <c r="C116" s="70"/>
      <c r="D116" s="70"/>
      <c r="E116" s="66"/>
      <c r="F116" s="70"/>
      <c r="G116" s="70"/>
      <c r="H116" s="92"/>
      <c r="I116" s="70"/>
      <c r="J116" s="70"/>
      <c r="K116" s="66"/>
      <c r="L116" s="70"/>
      <c r="M116" s="105"/>
      <c r="N116" s="66"/>
      <c r="O116" s="120"/>
      <c r="P116" s="70"/>
      <c r="Q116" s="103"/>
      <c r="R116" s="120"/>
      <c r="S116" s="70"/>
      <c r="T116" s="66"/>
      <c r="U116" s="70"/>
      <c r="V116" s="70"/>
      <c r="W116" s="66"/>
      <c r="X116" s="70"/>
      <c r="Y116" s="70"/>
      <c r="Z116" s="67"/>
      <c r="AA116" s="16"/>
    </row>
    <row r="117" spans="1:31" s="15" customFormat="1" ht="16.5" customHeight="1" thickBot="1">
      <c r="A117" s="65" t="s">
        <v>45</v>
      </c>
      <c r="B117" s="66"/>
      <c r="C117" s="70"/>
      <c r="D117" s="70"/>
      <c r="E117" s="66"/>
      <c r="F117" s="70"/>
      <c r="G117" s="70"/>
      <c r="H117" s="92"/>
      <c r="I117" s="70"/>
      <c r="J117" s="70"/>
      <c r="K117" s="66"/>
      <c r="L117" s="70"/>
      <c r="M117" s="105"/>
      <c r="N117" s="66"/>
      <c r="O117" s="120"/>
      <c r="P117" s="70"/>
      <c r="Q117" s="103"/>
      <c r="R117" s="120"/>
      <c r="S117" s="70"/>
      <c r="T117" s="66"/>
      <c r="U117" s="70"/>
      <c r="V117" s="70"/>
      <c r="W117" s="66"/>
      <c r="X117" s="70"/>
      <c r="Y117" s="70"/>
      <c r="Z117" s="67"/>
      <c r="AA117" s="16"/>
    </row>
    <row r="118" spans="1:31" s="20" customFormat="1" ht="18" customHeight="1" thickTop="1">
      <c r="A118" s="199" t="s">
        <v>46</v>
      </c>
      <c r="B118" s="200"/>
      <c r="C118" s="17">
        <f>SUM(C87:C115)</f>
        <v>0</v>
      </c>
      <c r="D118" s="18">
        <f>MAX(D87:D115)</f>
        <v>0</v>
      </c>
      <c r="E118" s="75" t="s">
        <v>48</v>
      </c>
      <c r="F118" s="17">
        <f>SUM(F87:F115)</f>
        <v>0</v>
      </c>
      <c r="G118" s="18">
        <f>MAX(G87:G115)</f>
        <v>0</v>
      </c>
      <c r="H118" s="75" t="s">
        <v>48</v>
      </c>
      <c r="I118" s="17">
        <f>SUM(I87:I115)</f>
        <v>0</v>
      </c>
      <c r="J118" s="18">
        <f>MAX(J87:J115)</f>
        <v>0</v>
      </c>
      <c r="K118" s="75" t="s">
        <v>48</v>
      </c>
      <c r="L118" s="17">
        <f>SUM(L87:L115)</f>
        <v>0</v>
      </c>
      <c r="M118" s="18">
        <f>MAX(M87:M115)</f>
        <v>0</v>
      </c>
      <c r="N118" s="75"/>
      <c r="O118" s="18"/>
      <c r="P118" s="18">
        <f>MAX(P87:P115)</f>
        <v>0</v>
      </c>
      <c r="Q118" s="75"/>
      <c r="R118" s="18"/>
      <c r="S118" s="18">
        <f>MAX(S87:S115)</f>
        <v>0</v>
      </c>
      <c r="T118" s="75"/>
      <c r="U118" s="17">
        <f>SUM(U87:U115)</f>
        <v>0</v>
      </c>
      <c r="V118" s="18">
        <f>MAX(V87:V115)</f>
        <v>0</v>
      </c>
      <c r="W118" s="73"/>
      <c r="X118" s="17">
        <f>SUM(X86:X115)</f>
        <v>0</v>
      </c>
      <c r="Y118" s="18">
        <f>MAX(Y87:Y115)</f>
        <v>0</v>
      </c>
      <c r="Z118" s="74"/>
      <c r="AA118" s="19"/>
    </row>
    <row r="119" spans="1:31" s="20" customFormat="1" ht="18" customHeight="1" thickBot="1">
      <c r="A119" s="193" t="s">
        <v>47</v>
      </c>
      <c r="B119" s="194"/>
      <c r="C119" s="127">
        <f>C118/31</f>
        <v>0</v>
      </c>
      <c r="D119" s="128">
        <f>MAX(D86:D117)</f>
        <v>0</v>
      </c>
      <c r="E119" s="107" t="s">
        <v>48</v>
      </c>
      <c r="F119" s="127">
        <f>F118/31</f>
        <v>0</v>
      </c>
      <c r="G119" s="128">
        <f>MAX(G86:G117)</f>
        <v>0</v>
      </c>
      <c r="H119" s="107" t="s">
        <v>48</v>
      </c>
      <c r="I119" s="127">
        <f>I118/31</f>
        <v>0</v>
      </c>
      <c r="J119" s="128">
        <f>MAX(J86:J117)</f>
        <v>0</v>
      </c>
      <c r="K119" s="107" t="s">
        <v>48</v>
      </c>
      <c r="L119" s="127">
        <f>L118/31</f>
        <v>0</v>
      </c>
      <c r="M119" s="128">
        <f>MAX(M86:M117)</f>
        <v>0</v>
      </c>
      <c r="N119" s="106"/>
      <c r="O119" s="109"/>
      <c r="P119" s="109"/>
      <c r="Q119" s="106"/>
      <c r="R119" s="109"/>
      <c r="S119" s="110"/>
      <c r="T119" s="106"/>
      <c r="U119" s="127">
        <f>U118/31</f>
        <v>0</v>
      </c>
      <c r="V119" s="128">
        <f>MAX(V86:V117)</f>
        <v>0</v>
      </c>
      <c r="W119" s="77"/>
      <c r="X119" s="126">
        <f>X118/31</f>
        <v>0</v>
      </c>
      <c r="Y119" s="128">
        <f>MAX(Y86:Y117)</f>
        <v>0</v>
      </c>
      <c r="Z119" s="108"/>
      <c r="AA119" s="31"/>
    </row>
    <row r="120" spans="1:31" ht="21" customHeight="1">
      <c r="A120" s="111"/>
      <c r="B120" s="112"/>
      <c r="C120" s="113"/>
      <c r="D120" s="113"/>
      <c r="E120" s="111"/>
      <c r="F120" s="114"/>
      <c r="G120" s="114"/>
      <c r="H120" s="111"/>
      <c r="I120" s="114"/>
      <c r="J120" s="114"/>
      <c r="K120" s="111"/>
      <c r="L120" s="114"/>
      <c r="M120" s="114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 spans="1:31" ht="19.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5"/>
    </row>
    <row r="122" spans="1:31">
      <c r="S122" s="117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35"/>
      <c r="AE122" s="35"/>
    </row>
    <row r="123" spans="1:31">
      <c r="S123" s="117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35"/>
      <c r="AE123" s="35"/>
    </row>
    <row r="124" spans="1:31">
      <c r="S124" s="117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35"/>
      <c r="AE124" s="35"/>
    </row>
    <row r="125" spans="1:31">
      <c r="S125" s="117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35"/>
      <c r="AE125" s="35"/>
    </row>
  </sheetData>
  <mergeCells count="12">
    <mergeCell ref="A119:B119"/>
    <mergeCell ref="A1:AA4"/>
    <mergeCell ref="A5:A7"/>
    <mergeCell ref="A40:B40"/>
    <mergeCell ref="A41:B41"/>
    <mergeCell ref="A44:A46"/>
    <mergeCell ref="A79:B79"/>
    <mergeCell ref="A80:B80"/>
    <mergeCell ref="A83:A85"/>
    <mergeCell ref="T84:V84"/>
    <mergeCell ref="W84:Y84"/>
    <mergeCell ref="A118:B118"/>
  </mergeCells>
  <phoneticPr fontId="10" type="noConversion"/>
  <pageMargins left="0.35433070866141736" right="0.27559055118110237" top="0.47244094488188981" bottom="0.39370078740157483" header="0.39370078740157483" footer="0.51181102362204722"/>
  <pageSetup paperSize="9" scale="60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DF9C36C6F1238541BD64639D95A57199" ma:contentTypeVersion="3" ma:contentTypeDescription="새 문서를 만듭니다." ma:contentTypeScope="" ma:versionID="bbb510f4fd5ec18c8fb7bb5b5f39c9a5">
  <xsd:schema xmlns:xsd="http://www.w3.org/2001/XMLSchema" xmlns:xs="http://www.w3.org/2001/XMLSchema" xmlns:p="http://schemas.microsoft.com/office/2006/metadata/properties" xmlns:ns2="4749c166-8a49-4641-b612-9b10b4c47316" targetNamespace="http://schemas.microsoft.com/office/2006/metadata/properties" ma:root="true" ma:fieldsID="051eaabd1f78f841daf20315c49ad3e3" ns2:_="">
    <xsd:import namespace="4749c166-8a49-4641-b612-9b10b4c473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9c166-8a49-4641-b612-9b10b4c473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520D5B-E188-4C8C-90F2-52DD7F322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3F20686-E5E1-4BFC-A5FB-57C619A40AF0}">
  <ds:schemaRefs>
    <ds:schemaRef ds:uri="http://schemas.microsoft.com/office/2006/metadata/properties"/>
    <ds:schemaRef ds:uri="http://www.w3.org/2000/xmlns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639B432-C853-4570-B63E-EEFB750B0E5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4749c166-8a49-4641-b612-9b10b4c47316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1일</vt:lpstr>
      <vt:lpstr>월보</vt:lpstr>
      <vt:lpstr>월보!Print_Area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poscowide</dc:creator>
  <cp:keywords/>
  <dc:description/>
  <cp:lastModifiedBy>홍기룡</cp:lastModifiedBy>
  <cp:revision/>
  <dcterms:created xsi:type="dcterms:W3CDTF">2026-04-03T07:05:58Z</dcterms:created>
  <dcterms:modified xsi:type="dcterms:W3CDTF">2026-08-30T02:10:17Z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gtMzBUMDE6MjY6MzRaIiwicElEIjoyMDQ4LCJwcm9jZXNzSWQiOjIzOTQwLCJwcm9jZXNzTmFtZSI6IkVYQ0VMLkVYRSIsInRyYWNlSWQiOiJCNkJGODA2OTdBOEU0ODE1OTY4QUIzNkFGOUQwM0M2QSIsInVzZXJDb2RlIjoiaGtyMDA4In0sIm5vZGUyIjp7ImRzZCI6IjAxMDAwMDAwMDAwMDI0MjUiLCJsb2dUaW1lIjoiMjAyNi0wOC0zMFQwMjowMTowNloiLCJwSUQiOjEsInByb2Nlc3NJZCI6MjM5NDAsInByb2Nlc3NOYW1lIjoiRVhDRUwuRVhFIiwidHJhY2VJZCI6IjY4MkVBQ0REQkNGMTQzNURCNTZCRjcwNTg5MjA1NzBDIiwidXNlckNvZGUiOiJoa3IwMDgifSwibm9kZTMiOnsiZHNkIjoiMDAwMDAwMDAwMDAwMDAwMCIsImxvZ1RpbWUiOiIyMDI2LTA4LTMwVDAyOjAxOjE1WiIsInBJRCI6MjA0OCwicHJvY2Vzc0lkIjoyMzk0MCwicHJvY2Vzc05hbWUiOiJFWENFTC5FWEUiLCJ0cmFjZUlkIjoiMkMyRTBCNkY3RjY3NDI4Nzk5RkFDMzlGMUNCRDdCNDMiLCJ1c2VyQ29kZSI6ImhrcjAwOCJ9LCJub2RlNCI6eyJkc2QiOiIwMTAwMDAwMDAwMDAyNDI1IiwibG9nVGltZSI6IjIwMjYtMDgtMzBUMDI6MDM6MTZaIiwicElEIjoxLCJwcm9jZXNzSWQiOjIzOTQwLCJwcm9jZXNzTmFtZSI6IkVYQ0VMLkVYRSIsInRyYWNlSWQiOiIzOEI1NTY1MDYzQjU0NjRBODNFMkQ5ODBEMjM1MjdBNCIsInVzZXJDb2RlIjoiaGtyMDA4In0sIm5vZGU1Ijp7ImRzZCI6IjAwMDAwMDAwMDAwMDAwMDAiLCJsb2dUaW1lIjoiMjAyNi0wOC0zMFQwMjoxMzoxNVoiLCJwSUQiOjIwNDgsInByb2Nlc3NJZCI6MTU0MDAsInByb2Nlc3NOYW1lIjoiRVhDRUwuRVhFIiwidHJhY2VJZCI6IkNDRjMzMThCQThDQjRBREJBQTY3NzVERTI4QTA0N0I4IiwidXNlckNvZGUiOiJoa3IwMDgifSwibm9kZUNvdW50IjoxMSwicm9vdFRyYWNlSWQiOiIzRjk3QkU0NEM3Qzk0MEI2OEVCNEU3RThDRDBENjc2OCJ9</vt:lpwstr>
  </property>
</Properties>
</file>