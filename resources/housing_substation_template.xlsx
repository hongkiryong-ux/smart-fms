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70" firstSheet="0" activeTab="1" autoFilterDateGrouping="1"/>
  </bookViews>
  <sheets>
    <sheet xmlns:r="http://schemas.openxmlformats.org/officeDocument/2006/relationships" name="1일" sheetId="1" state="visible" r:id="rId1"/>
    <sheet xmlns:r="http://schemas.openxmlformats.org/officeDocument/2006/relationships" name="월보" sheetId="2" state="visible" r:id="rId2"/>
  </sheets>
  <definedNames>
    <definedName name="내범위">#REF!,#REF!,#REF!,#REF!,#REF!,#REF!,#REF!,#REF!,#REF!,#REF!,#REF!,#REF!,#REF!,#REF!,#REF!,#REF!,#REF!,#REF!,#REF!,#REF!,#REF!,#REF!,#REF!,#REF!,#REF!,#REF!,#REF!</definedName>
    <definedName name="_xlnm.Print_Area" localSheetId="1">'월보'!$A$1:$AA$120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_ ;_ @_ "/>
    <numFmt numFmtId="165" formatCode="0.0000000000000000_ "/>
    <numFmt numFmtId="166" formatCode="00&quot;/&quot;00"/>
    <numFmt numFmtId="167" formatCode="#,##0&quot; ℃&quot;"/>
  </numFmts>
  <fonts count="38">
    <font>
      <name val="Arial"/>
      <color rgb="FF000000"/>
      <sz val="10"/>
      <scheme val="minor"/>
    </font>
    <font>
      <name val="맑은 고딕"/>
      <charset val="129"/>
      <family val="2"/>
      <color theme="1"/>
      <sz val="11"/>
    </font>
    <font>
      <name val="Arial"/>
      <family val="2"/>
      <sz val="10"/>
    </font>
    <font>
      <name val="&quot;맑은 고딕&quot;"/>
      <charset val="129"/>
      <family val="3"/>
      <color rgb="FF000000"/>
      <sz val="11"/>
    </font>
    <font>
      <name val="굴림체"/>
      <charset val="129"/>
      <family val="3"/>
      <color rgb="FF000000"/>
      <sz val="9"/>
    </font>
    <font>
      <name val="굴림체"/>
      <charset val="129"/>
      <family val="3"/>
      <color rgb="FF000000"/>
      <sz val="10"/>
    </font>
    <font>
      <name val="굴림체"/>
      <charset val="129"/>
      <family val="3"/>
      <color rgb="FF000000"/>
      <sz val="8"/>
    </font>
    <font>
      <name val="굴림체"/>
      <charset val="129"/>
      <family val="3"/>
      <color rgb="FF000000"/>
      <sz val="6"/>
    </font>
    <font>
      <name val="Arial"/>
      <family val="2"/>
      <color theme="1"/>
      <sz val="8"/>
      <scheme val="minor"/>
    </font>
    <font>
      <name val="Arial"/>
      <family val="2"/>
      <color theme="1"/>
      <sz val="10"/>
      <scheme val="minor"/>
    </font>
    <font>
      <name val="Arial"/>
      <charset val="129"/>
      <family val="3"/>
      <sz val="8"/>
      <scheme val="minor"/>
    </font>
    <font>
      <name val="Arial"/>
      <family val="2"/>
      <color rgb="FF000000"/>
      <sz val="10"/>
      <scheme val="minor"/>
    </font>
    <font>
      <name val="굴림체"/>
      <charset val="129"/>
      <family val="3"/>
      <b val="1"/>
      <color rgb="FF000000"/>
      <sz val="10"/>
    </font>
    <font>
      <name val="맑은 고딕"/>
      <charset val="129"/>
      <family val="3"/>
      <color theme="1"/>
      <sz val="10"/>
    </font>
    <font>
      <name val="바탕체"/>
      <charset val="129"/>
      <family val="1"/>
      <sz val="12"/>
    </font>
    <font>
      <name val="궁서체"/>
      <charset val="129"/>
      <family val="1"/>
      <b val="1"/>
      <sz val="24"/>
      <u val="single"/>
    </font>
    <font>
      <name val="바탕체"/>
      <charset val="129"/>
      <family val="1"/>
      <sz val="8"/>
    </font>
    <font>
      <name val="굴림체"/>
      <charset val="129"/>
      <family val="3"/>
      <sz val="12"/>
    </font>
    <font>
      <name val="굴림체"/>
      <charset val="129"/>
      <family val="3"/>
      <sz val="11"/>
    </font>
    <font>
      <name val="굴림체"/>
      <charset val="129"/>
      <family val="3"/>
      <color indexed="17"/>
      <sz val="10"/>
    </font>
    <font>
      <name val="굴림체"/>
      <charset val="129"/>
      <family val="3"/>
      <sz val="10"/>
    </font>
    <font>
      <name val="굴림체"/>
      <charset val="129"/>
      <family val="3"/>
      <color indexed="10"/>
      <sz val="11"/>
    </font>
    <font>
      <name val="굴림체"/>
      <charset val="129"/>
      <family val="3"/>
      <sz val="8"/>
    </font>
    <font>
      <name val="돋움체"/>
      <charset val="129"/>
      <family val="3"/>
      <sz val="11"/>
    </font>
    <font>
      <name val="바탕체"/>
      <charset val="129"/>
      <family val="1"/>
      <sz val="11"/>
    </font>
    <font>
      <name val="굴림체"/>
      <charset val="129"/>
      <family val="3"/>
      <color rgb="FF000000"/>
      <sz val="13"/>
    </font>
    <font>
      <name val="굴림"/>
      <charset val="129"/>
      <family val="2"/>
      <color theme="1"/>
      <sz val="8"/>
    </font>
    <font>
      <name val="Arial"/>
      <family val="2"/>
      <b val="1"/>
      <sz val="8"/>
      <scheme val="minor"/>
    </font>
    <font>
      <name val="굴림"/>
      <charset val="129"/>
      <family val="2"/>
      <b val="1"/>
      <sz val="8"/>
    </font>
    <font>
      <name val="굴림"/>
      <charset val="129"/>
      <family val="3"/>
      <color rgb="FF000000"/>
      <sz val="8"/>
    </font>
    <font>
      <name val="굴림"/>
      <charset val="129"/>
      <family val="3"/>
      <color rgb="FF000000"/>
      <sz val="9"/>
    </font>
    <font>
      <name val="굴림"/>
      <charset val="129"/>
      <family val="3"/>
      <b val="1"/>
      <sz val="24"/>
      <u val="single"/>
    </font>
    <font>
      <name val="굴림체"/>
      <charset val="129"/>
      <family val="3"/>
      <b val="1"/>
      <sz val="24"/>
      <u val="single"/>
    </font>
    <font>
      <name val="굴림체"/>
      <charset val="129"/>
      <family val="3"/>
      <color indexed="10"/>
      <sz val="10"/>
    </font>
    <font>
      <name val="돋움체"/>
      <charset val="129"/>
      <family val="3"/>
      <sz val="10"/>
    </font>
    <font>
      <name val="바탕체"/>
      <charset val="129"/>
      <family val="1"/>
      <sz val="10"/>
    </font>
    <font>
      <name val="돋움"/>
      <charset val="129"/>
      <family val="3"/>
      <sz val="12"/>
    </font>
    <font>
      <name val="굴림체"/>
      <charset val="129"/>
      <family val="3"/>
      <b val="1"/>
      <sz val="26"/>
      <u val="single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9FF99"/>
        <bgColor indexed="64"/>
      </patternFill>
    </fill>
  </fills>
  <borders count="6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4" fillId="0" borderId="0"/>
    <xf numFmtId="164" fontId="14" fillId="0" borderId="0"/>
    <xf numFmtId="0" fontId="1" fillId="0" borderId="0" applyAlignment="1">
      <alignment vertical="center"/>
    </xf>
  </cellStyleXfs>
  <cellXfs count="293">
    <xf numFmtId="0" fontId="0" fillId="0" borderId="0" pivotButton="0" quotePrefix="0" xfId="0"/>
    <xf numFmtId="0" fontId="4" fillId="0" borderId="0" applyAlignment="1" pivotButton="0" quotePrefix="0" xfId="0">
      <alignment horizontal="left"/>
    </xf>
    <xf numFmtId="20" fontId="4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9" fillId="0" borderId="0" pivotButton="0" quotePrefix="0" xfId="0"/>
    <xf numFmtId="0" fontId="8" fillId="0" borderId="0" applyAlignment="1" pivotButton="0" quotePrefix="0" xfId="0">
      <alignment horizontal="center"/>
    </xf>
    <xf numFmtId="0" fontId="11" fillId="0" borderId="0" pivotButton="0" quotePrefix="0" xfId="0"/>
    <xf numFmtId="0" fontId="17" fillId="0" borderId="0" applyAlignment="1" pivotButton="0" quotePrefix="0" xfId="1">
      <alignment vertical="center"/>
    </xf>
    <xf numFmtId="164" fontId="18" fillId="3" borderId="14" applyAlignment="1" pivotButton="0" quotePrefix="0" xfId="2">
      <alignment horizontal="centerContinuous" vertical="center"/>
    </xf>
    <xf numFmtId="0" fontId="19" fillId="0" borderId="0" applyAlignment="1" pivotButton="0" quotePrefix="0" xfId="1">
      <alignment vertical="center"/>
    </xf>
    <xf numFmtId="164" fontId="18" fillId="3" borderId="19" applyAlignment="1" pivotButton="0" quotePrefix="0" xfId="2">
      <alignment horizontal="centerContinuous" vertical="center"/>
    </xf>
    <xf numFmtId="0" fontId="20" fillId="0" borderId="0" applyAlignment="1" pivotButton="0" quotePrefix="0" xfId="1">
      <alignment vertical="center"/>
    </xf>
    <xf numFmtId="164" fontId="18" fillId="3" borderId="21" applyAlignment="1" pivotButton="0" quotePrefix="0" xfId="2">
      <alignment horizontal="center" vertical="center" shrinkToFit="1"/>
    </xf>
    <xf numFmtId="0" fontId="20" fillId="0" borderId="0" applyAlignment="1" pivotButton="0" quotePrefix="0" xfId="1">
      <alignment horizontal="center" vertical="center"/>
    </xf>
    <xf numFmtId="0" fontId="17" fillId="4" borderId="0" applyAlignment="1" pivotButton="0" quotePrefix="0" xfId="1">
      <alignment vertical="center"/>
    </xf>
    <xf numFmtId="164" fontId="18" fillId="5" borderId="21" applyAlignment="1" pivotButton="0" quotePrefix="0" xfId="2">
      <alignment horizontal="right" vertical="center"/>
    </xf>
    <xf numFmtId="164" fontId="20" fillId="3" borderId="25" applyAlignment="1" pivotButton="0" quotePrefix="0" xfId="2">
      <alignment horizontal="left" vertical="center"/>
    </xf>
    <xf numFmtId="164" fontId="20" fillId="0" borderId="25" applyAlignment="1" pivotButton="0" quotePrefix="0" xfId="2">
      <alignment horizontal="left" vertical="center"/>
    </xf>
    <xf numFmtId="164" fontId="18" fillId="0" borderId="26" applyAlignment="1" pivotButton="0" quotePrefix="0" xfId="2">
      <alignment horizontal="left" vertical="center"/>
    </xf>
    <xf numFmtId="0" fontId="18" fillId="0" borderId="0" applyAlignment="1" pivotButton="0" quotePrefix="0" xfId="1">
      <alignment vertical="center"/>
    </xf>
    <xf numFmtId="0" fontId="21" fillId="0" borderId="0" applyAlignment="1" pivotButton="0" quotePrefix="0" xfId="1">
      <alignment vertical="center"/>
    </xf>
    <xf numFmtId="164" fontId="18" fillId="0" borderId="0" applyAlignment="1" pivotButton="0" quotePrefix="0" xfId="2">
      <alignment horizontal="left" vertical="center"/>
    </xf>
    <xf numFmtId="164" fontId="18" fillId="0" borderId="26" applyAlignment="1" pivotButton="0" quotePrefix="0" xfId="2">
      <alignment horizontal="right" vertical="center"/>
    </xf>
    <xf numFmtId="0" fontId="22" fillId="0" borderId="0" applyAlignment="1" pivotButton="0" quotePrefix="0" xfId="1">
      <alignment vertical="center"/>
    </xf>
    <xf numFmtId="0" fontId="22" fillId="4" borderId="0" applyAlignment="1" pivotButton="0" quotePrefix="0" xfId="1">
      <alignment vertical="center"/>
    </xf>
    <xf numFmtId="164" fontId="18" fillId="0" borderId="26" applyAlignment="1" pivotButton="0" quotePrefix="0" xfId="2">
      <alignment horizontal="left" vertical="center"/>
    </xf>
    <xf numFmtId="164" fontId="18" fillId="0" borderId="34" applyAlignment="1" pivotButton="0" quotePrefix="0" xfId="2">
      <alignment horizontal="left" vertical="center"/>
    </xf>
    <xf numFmtId="164" fontId="18" fillId="3" borderId="35" applyAlignment="1" pivotButton="0" quotePrefix="0" xfId="2">
      <alignment horizontal="centerContinuous" vertical="center"/>
    </xf>
    <xf numFmtId="164" fontId="18" fillId="3" borderId="21" applyAlignment="1" pivotButton="0" quotePrefix="0" xfId="2">
      <alignment horizontal="center" vertical="center"/>
    </xf>
    <xf numFmtId="164" fontId="18" fillId="4" borderId="21" applyAlignment="1" pivotButton="0" quotePrefix="0" xfId="2">
      <alignment horizontal="right" vertical="center"/>
    </xf>
    <xf numFmtId="164" fontId="18" fillId="0" borderId="33" applyAlignment="1" pivotButton="0" quotePrefix="0" xfId="2">
      <alignment horizontal="left" vertical="center"/>
    </xf>
    <xf numFmtId="0" fontId="23" fillId="0" borderId="0" applyAlignment="1" pivotButton="0" quotePrefix="0" xfId="1">
      <alignment horizontal="centerContinuous"/>
    </xf>
    <xf numFmtId="164" fontId="23" fillId="0" borderId="0" applyAlignment="1" pivotButton="0" quotePrefix="0" xfId="2">
      <alignment horizontal="centerContinuous"/>
    </xf>
    <xf numFmtId="164" fontId="23" fillId="0" borderId="0" applyAlignment="1" pivotButton="0" quotePrefix="0" xfId="2">
      <alignment horizontal="centerContinuous"/>
    </xf>
    <xf numFmtId="0" fontId="24" fillId="0" borderId="0" pivotButton="0" quotePrefix="0" xfId="1"/>
    <xf numFmtId="0" fontId="14" fillId="0" borderId="0" pivotButton="0" quotePrefix="0" xfId="1"/>
    <xf numFmtId="2" fontId="17" fillId="4" borderId="0" applyAlignment="1" pivotButton="0" quotePrefix="0" xfId="1">
      <alignment vertical="center"/>
    </xf>
    <xf numFmtId="165" fontId="17" fillId="4" borderId="0" applyAlignment="1" pivotButton="0" quotePrefix="0" xfId="1">
      <alignment vertical="center"/>
    </xf>
    <xf numFmtId="0" fontId="4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12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/>
    </xf>
    <xf numFmtId="0" fontId="27" fillId="0" borderId="0" pivotButton="0" quotePrefix="0" xfId="0"/>
    <xf numFmtId="0" fontId="25" fillId="0" borderId="0" applyAlignment="1" pivotButton="0" quotePrefix="0" xfId="3">
      <alignment vertical="center" wrapText="1"/>
    </xf>
    <xf numFmtId="0" fontId="9" fillId="0" borderId="0" applyAlignment="1" pivotButton="0" quotePrefix="0" xfId="0">
      <alignment horizontal="center"/>
    </xf>
    <xf numFmtId="0" fontId="29" fillId="0" borderId="0" applyAlignment="1" pivotButton="0" quotePrefix="0" xfId="3">
      <alignment horizontal="center" vertical="center" wrapText="1"/>
    </xf>
    <xf numFmtId="0" fontId="29" fillId="0" borderId="0" applyAlignment="1" pivotButton="0" quotePrefix="0" xfId="0">
      <alignment horizontal="center"/>
    </xf>
    <xf numFmtId="0" fontId="30" fillId="0" borderId="0" applyAlignment="1" pivotButton="0" quotePrefix="0" xfId="3">
      <alignment horizontal="center" vertical="center" wrapText="1"/>
    </xf>
    <xf numFmtId="0" fontId="20" fillId="3" borderId="11" applyAlignment="1" pivotButton="0" quotePrefix="0" xfId="1">
      <alignment horizontal="centerContinuous" vertical="center"/>
    </xf>
    <xf numFmtId="164" fontId="20" fillId="3" borderId="12" applyAlignment="1" pivotButton="0" quotePrefix="0" xfId="2">
      <alignment horizontal="centerContinuous" vertical="center"/>
    </xf>
    <xf numFmtId="164" fontId="20" fillId="3" borderId="13" applyAlignment="1" pivotButton="0" quotePrefix="0" xfId="2">
      <alignment horizontal="centerContinuous" vertical="center"/>
    </xf>
    <xf numFmtId="0" fontId="20" fillId="3" borderId="11" applyAlignment="1" pivotButton="0" quotePrefix="1" xfId="1">
      <alignment horizontal="left" vertical="center"/>
    </xf>
    <xf numFmtId="164" fontId="20" fillId="3" borderId="14" applyAlignment="1" pivotButton="0" quotePrefix="0" xfId="2">
      <alignment horizontal="centerContinuous" vertical="center"/>
    </xf>
    <xf numFmtId="0" fontId="20" fillId="3" borderId="16" applyAlignment="1" pivotButton="0" quotePrefix="0" xfId="1">
      <alignment horizontal="centerContinuous" vertical="center"/>
    </xf>
    <xf numFmtId="164" fontId="20" fillId="3" borderId="17" applyAlignment="1" pivotButton="0" quotePrefix="0" xfId="2">
      <alignment horizontal="centerContinuous" vertical="center"/>
    </xf>
    <xf numFmtId="164" fontId="20" fillId="3" borderId="18" applyAlignment="1" pivotButton="0" quotePrefix="0" xfId="2">
      <alignment horizontal="centerContinuous" vertical="center"/>
    </xf>
    <xf numFmtId="164" fontId="20" fillId="3" borderId="19" applyAlignment="1" pivotButton="0" quotePrefix="0" xfId="2">
      <alignment horizontal="centerContinuous" vertical="center"/>
    </xf>
    <xf numFmtId="0" fontId="20" fillId="3" borderId="16" applyAlignment="1" pivotButton="0" quotePrefix="0" xfId="1">
      <alignment horizontal="center" vertical="center"/>
    </xf>
    <xf numFmtId="164" fontId="20" fillId="3" borderId="16" applyAlignment="1" pivotButton="0" quotePrefix="0" xfId="2">
      <alignment horizontal="center" vertical="center"/>
    </xf>
    <xf numFmtId="164" fontId="20" fillId="3" borderId="20" applyAlignment="1" pivotButton="0" quotePrefix="0" xfId="2">
      <alignment horizontal="center" vertical="center"/>
    </xf>
    <xf numFmtId="164" fontId="20" fillId="3" borderId="21" applyAlignment="1" pivotButton="0" quotePrefix="0" xfId="2">
      <alignment horizontal="center" vertical="center" shrinkToFit="1"/>
    </xf>
    <xf numFmtId="0" fontId="20" fillId="4" borderId="22" applyAlignment="1" pivotButton="0" quotePrefix="0" xfId="1">
      <alignment horizontal="centerContinuous" vertical="center"/>
    </xf>
    <xf numFmtId="2" fontId="20" fillId="0" borderId="16" applyAlignment="1" pivotButton="0" quotePrefix="0" xfId="1">
      <alignment horizontal="right" vertical="center"/>
    </xf>
    <xf numFmtId="164" fontId="20" fillId="5" borderId="16" applyAlignment="1" pivotButton="0" quotePrefix="0" xfId="2">
      <alignment horizontal="right" vertical="center"/>
    </xf>
    <xf numFmtId="164" fontId="20" fillId="0" borderId="16" applyAlignment="1" pivotButton="0" quotePrefix="0" xfId="1">
      <alignment horizontal="right" vertical="center"/>
    </xf>
    <xf numFmtId="1" fontId="20" fillId="0" borderId="16" applyAlignment="1" pivotButton="0" quotePrefix="0" xfId="1">
      <alignment horizontal="right" vertical="center"/>
    </xf>
    <xf numFmtId="164" fontId="20" fillId="0" borderId="16" applyAlignment="1" pivotButton="0" quotePrefix="0" xfId="2">
      <alignment horizontal="right" vertical="center"/>
    </xf>
    <xf numFmtId="0" fontId="20" fillId="4" borderId="0" applyAlignment="1" pivotButton="0" quotePrefix="0" xfId="1">
      <alignment vertical="center"/>
    </xf>
    <xf numFmtId="2" fontId="20" fillId="5" borderId="16" applyAlignment="1" pivotButton="0" quotePrefix="0" xfId="1">
      <alignment horizontal="right" vertical="center"/>
    </xf>
    <xf numFmtId="2" fontId="20" fillId="0" borderId="25" applyAlignment="1" pivotButton="0" quotePrefix="0" xfId="1">
      <alignment horizontal="left" vertical="center"/>
    </xf>
    <xf numFmtId="164" fontId="20" fillId="0" borderId="25" applyAlignment="1" pivotButton="0" quotePrefix="0" xfId="2">
      <alignment horizontal="left" vertical="center"/>
    </xf>
    <xf numFmtId="0" fontId="20" fillId="0" borderId="25" applyAlignment="1" pivotButton="0" quotePrefix="0" xfId="1">
      <alignment horizontal="left" vertical="center"/>
    </xf>
    <xf numFmtId="164" fontId="20" fillId="0" borderId="29" applyAlignment="1" pivotButton="0" quotePrefix="0" xfId="2">
      <alignment horizontal="left" vertical="center"/>
    </xf>
    <xf numFmtId="2" fontId="20" fillId="0" borderId="29" applyAlignment="1" pivotButton="0" quotePrefix="0" xfId="1">
      <alignment horizontal="left" vertical="center"/>
    </xf>
    <xf numFmtId="164" fontId="20" fillId="0" borderId="29" applyAlignment="1" pivotButton="0" quotePrefix="0" xfId="2">
      <alignment horizontal="left" vertical="center"/>
    </xf>
    <xf numFmtId="0" fontId="20" fillId="0" borderId="29" applyAlignment="1" pivotButton="0" quotePrefix="0" xfId="1">
      <alignment horizontal="left" vertical="center"/>
    </xf>
    <xf numFmtId="164" fontId="20" fillId="0" borderId="29" applyAlignment="1" pivotButton="0" quotePrefix="0" xfId="2">
      <alignment horizontal="center" vertical="center"/>
    </xf>
    <xf numFmtId="0" fontId="33" fillId="0" borderId="0" applyAlignment="1" pivotButton="0" quotePrefix="0" xfId="1">
      <alignment vertical="center"/>
    </xf>
    <xf numFmtId="164" fontId="20" fillId="0" borderId="0" applyAlignment="1" pivotButton="0" quotePrefix="0" xfId="2">
      <alignment horizontal="center" vertical="center"/>
    </xf>
    <xf numFmtId="164" fontId="20" fillId="0" borderId="0" applyAlignment="1" pivotButton="0" quotePrefix="0" xfId="2">
      <alignment horizontal="left" vertical="center"/>
    </xf>
    <xf numFmtId="2" fontId="20" fillId="0" borderId="0" applyAlignment="1" pivotButton="0" quotePrefix="0" xfId="1">
      <alignment horizontal="left" vertical="center"/>
    </xf>
    <xf numFmtId="0" fontId="20" fillId="0" borderId="0" applyAlignment="1" pivotButton="0" quotePrefix="0" xfId="1">
      <alignment horizontal="left" vertical="center"/>
    </xf>
    <xf numFmtId="0" fontId="20" fillId="0" borderId="0" applyAlignment="1" pivotButton="0" quotePrefix="0" xfId="1">
      <alignment horizontal="centerContinuous" vertical="center"/>
    </xf>
    <xf numFmtId="164" fontId="20" fillId="0" borderId="0" applyAlignment="1" pivotButton="0" quotePrefix="0" xfId="2">
      <alignment horizontal="left" vertical="center"/>
    </xf>
    <xf numFmtId="164" fontId="20" fillId="0" borderId="0" applyAlignment="1" pivotButton="0" quotePrefix="0" xfId="2">
      <alignment horizontal="left" vertical="center"/>
    </xf>
    <xf numFmtId="0" fontId="20" fillId="3" borderId="30" applyAlignment="1" pivotButton="0" quotePrefix="0" xfId="1">
      <alignment horizontal="centerContinuous" vertical="center"/>
    </xf>
    <xf numFmtId="164" fontId="20" fillId="3" borderId="31" applyAlignment="1" pivotButton="0" quotePrefix="0" xfId="2">
      <alignment horizontal="centerContinuous" vertical="center"/>
    </xf>
    <xf numFmtId="164" fontId="20" fillId="3" borderId="32" applyAlignment="1" pivotButton="0" quotePrefix="0" xfId="2">
      <alignment horizontal="centerContinuous" vertical="center"/>
    </xf>
    <xf numFmtId="2" fontId="20" fillId="0" borderId="16" applyAlignment="1" pivotButton="0" quotePrefix="0" xfId="2">
      <alignment horizontal="right" vertical="center"/>
    </xf>
    <xf numFmtId="164" fontId="20" fillId="0" borderId="34" applyAlignment="1" pivotButton="0" quotePrefix="0" xfId="2">
      <alignment horizontal="center" vertical="center"/>
    </xf>
    <xf numFmtId="164" fontId="20" fillId="0" borderId="34" applyAlignment="1" pivotButton="0" quotePrefix="0" xfId="2">
      <alignment horizontal="left" vertical="center"/>
    </xf>
    <xf numFmtId="0" fontId="20" fillId="3" borderId="31" applyAlignment="1" pivotButton="0" quotePrefix="0" xfId="1">
      <alignment horizontal="center" vertical="center"/>
    </xf>
    <xf numFmtId="164" fontId="20" fillId="3" borderId="31" applyAlignment="1" pivotButton="0" quotePrefix="0" xfId="2">
      <alignment horizontal="center" vertical="center"/>
    </xf>
    <xf numFmtId="0" fontId="20" fillId="3" borderId="30" applyAlignment="1" pivotButton="0" quotePrefix="0" xfId="1">
      <alignment horizontal="center" vertical="center"/>
    </xf>
    <xf numFmtId="164" fontId="20" fillId="3" borderId="32" applyAlignment="1" pivotButton="0" quotePrefix="0" xfId="2">
      <alignment horizontal="center" vertical="center"/>
    </xf>
    <xf numFmtId="0" fontId="20" fillId="3" borderId="30" applyAlignment="1" pivotButton="0" quotePrefix="1" xfId="1">
      <alignment horizontal="center" vertical="center"/>
    </xf>
    <xf numFmtId="2" fontId="20" fillId="3" borderId="16" applyAlignment="1" pivotButton="0" quotePrefix="0" xfId="1">
      <alignment horizontal="right" vertical="center"/>
    </xf>
    <xf numFmtId="164" fontId="20" fillId="3" borderId="16" applyAlignment="1" pivotButton="0" quotePrefix="1" xfId="2">
      <alignment horizontal="center" vertical="center"/>
    </xf>
    <xf numFmtId="164" fontId="20" fillId="3" borderId="20" applyAlignment="1" pivotButton="0" quotePrefix="0" xfId="2">
      <alignment horizontal="center" vertical="center" shrinkToFit="1"/>
    </xf>
    <xf numFmtId="2" fontId="20" fillId="4" borderId="16" applyAlignment="1" pivotButton="0" quotePrefix="0" xfId="1">
      <alignment horizontal="right" vertical="center"/>
    </xf>
    <xf numFmtId="164" fontId="20" fillId="4" borderId="16" applyAlignment="1" pivotButton="0" quotePrefix="0" xfId="2">
      <alignment horizontal="right" vertical="center"/>
    </xf>
    <xf numFmtId="164" fontId="20" fillId="0" borderId="20" applyAlignment="1" pivotButton="0" quotePrefix="0" xfId="2">
      <alignment horizontal="right" vertical="center"/>
    </xf>
    <xf numFmtId="164" fontId="20" fillId="0" borderId="36" applyAlignment="1" pivotButton="0" quotePrefix="0" xfId="2">
      <alignment horizontal="left" vertical="center"/>
    </xf>
    <xf numFmtId="164" fontId="20" fillId="0" borderId="36" applyAlignment="1" pivotButton="0" quotePrefix="0" xfId="2">
      <alignment horizontal="left" vertical="center"/>
    </xf>
    <xf numFmtId="164" fontId="20" fillId="0" borderId="36" applyAlignment="1" pivotButton="0" quotePrefix="0" xfId="2">
      <alignment horizontal="center" vertical="center"/>
    </xf>
    <xf numFmtId="164" fontId="20" fillId="0" borderId="36" applyAlignment="1" pivotButton="0" quotePrefix="0" xfId="2">
      <alignment horizontal="center" vertical="center"/>
    </xf>
    <xf numFmtId="164" fontId="20" fillId="0" borderId="9" applyAlignment="1" pivotButton="0" quotePrefix="0" xfId="2">
      <alignment horizontal="left" vertical="center"/>
    </xf>
    <xf numFmtId="0" fontId="34" fillId="0" borderId="0" applyAlignment="1" pivotButton="0" quotePrefix="0" xfId="1">
      <alignment horizontal="centerContinuous"/>
    </xf>
    <xf numFmtId="0" fontId="34" fillId="0" borderId="0" applyAlignment="1" pivotButton="0" quotePrefix="0" xfId="1">
      <alignment horizontal="left"/>
    </xf>
    <xf numFmtId="164" fontId="34" fillId="0" borderId="0" applyAlignment="1" pivotButton="0" quotePrefix="0" xfId="2">
      <alignment horizontal="centerContinuous"/>
    </xf>
    <xf numFmtId="164" fontId="34" fillId="0" borderId="0" applyAlignment="1" pivotButton="0" quotePrefix="0" xfId="2">
      <alignment horizontal="centerContinuous"/>
    </xf>
    <xf numFmtId="0" fontId="35" fillId="0" borderId="0" pivotButton="0" quotePrefix="0" xfId="1"/>
    <xf numFmtId="0" fontId="36" fillId="5" borderId="48" applyAlignment="1" pivotButton="0" quotePrefix="0" xfId="0">
      <alignment vertical="center"/>
    </xf>
    <xf numFmtId="0" fontId="36" fillId="5" borderId="49" applyAlignment="1" pivotButton="0" quotePrefix="0" xfId="0">
      <alignment vertical="center"/>
    </xf>
    <xf numFmtId="0" fontId="31" fillId="5" borderId="48" applyAlignment="1" pivotButton="0" quotePrefix="0" xfId="1">
      <alignment vertical="center"/>
    </xf>
    <xf numFmtId="164" fontId="20" fillId="7" borderId="16" applyAlignment="1" pivotButton="0" quotePrefix="0" xfId="1">
      <alignment horizontal="right" vertical="center"/>
    </xf>
    <xf numFmtId="164" fontId="20" fillId="7" borderId="16" applyAlignment="1" pivotButton="0" quotePrefix="0" xfId="2">
      <alignment horizontal="right" vertical="center"/>
    </xf>
    <xf numFmtId="164" fontId="20" fillId="7" borderId="16" applyAlignment="1" pivotButton="0" quotePrefix="0" xfId="2">
      <alignment horizontal="center" vertical="center"/>
    </xf>
    <xf numFmtId="164" fontId="18" fillId="0" borderId="33" applyAlignment="1" pivotButton="0" quotePrefix="0" xfId="2">
      <alignment horizontal="right" vertical="center"/>
    </xf>
    <xf numFmtId="164" fontId="20" fillId="0" borderId="47" applyAlignment="1" pivotButton="0" quotePrefix="0" xfId="2">
      <alignment horizontal="right" vertical="center"/>
    </xf>
    <xf numFmtId="164" fontId="18" fillId="0" borderId="50" applyAlignment="1" pivotButton="0" quotePrefix="0" xfId="2">
      <alignment horizontal="right" vertical="center"/>
    </xf>
    <xf numFmtId="0" fontId="37" fillId="0" borderId="51" pivotButton="0" quotePrefix="0" xfId="1"/>
    <xf numFmtId="164" fontId="20" fillId="5" borderId="29" applyAlignment="1" pivotButton="0" quotePrefix="0" xfId="2">
      <alignment horizontal="center" vertical="center"/>
    </xf>
    <xf numFmtId="164" fontId="20" fillId="5" borderId="36" applyAlignment="1" pivotButton="0" quotePrefix="0" xfId="2">
      <alignment horizontal="center" vertical="center"/>
    </xf>
    <xf numFmtId="164" fontId="20" fillId="8" borderId="36" applyAlignment="1" pivotButton="0" quotePrefix="0" xfId="2">
      <alignment horizontal="left" vertical="center"/>
    </xf>
    <xf numFmtId="2" fontId="20" fillId="6" borderId="16" applyAlignment="1" pivotButton="0" quotePrefix="0" xfId="1">
      <alignment horizontal="right" vertical="center"/>
    </xf>
    <xf numFmtId="0" fontId="13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0" fontId="5" fillId="0" borderId="7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0" fontId="6" fillId="0" borderId="8" applyAlignment="1" pivotButton="0" quotePrefix="0" xfId="0">
      <alignment horizontal="center"/>
    </xf>
    <xf numFmtId="0" fontId="4" fillId="0" borderId="44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5" fillId="0" borderId="8" applyAlignment="1" pivotButton="0" quotePrefix="0" xfId="0">
      <alignment horizontal="center"/>
    </xf>
    <xf numFmtId="20" fontId="4" fillId="0" borderId="6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52" applyAlignment="1" pivotButton="0" quotePrefix="0" xfId="0">
      <alignment horizontal="center"/>
    </xf>
    <xf numFmtId="0" fontId="3" fillId="0" borderId="53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20" fontId="4" fillId="0" borderId="9" applyAlignment="1" pivotButton="0" quotePrefix="0" xfId="0">
      <alignment horizontal="center"/>
    </xf>
    <xf numFmtId="0" fontId="4" fillId="0" borderId="46" pivotButton="0" quotePrefix="0" xfId="0"/>
    <xf numFmtId="0" fontId="12" fillId="0" borderId="40" applyAlignment="1" pivotButton="0" quotePrefix="0" xfId="0">
      <alignment vertical="top" wrapText="1"/>
    </xf>
    <xf numFmtId="0" fontId="12" fillId="0" borderId="41" applyAlignment="1" pivotButton="0" quotePrefix="0" xfId="0">
      <alignment vertical="top" wrapText="1"/>
    </xf>
    <xf numFmtId="0" fontId="4" fillId="0" borderId="2" pivotButton="0" quotePrefix="0" xfId="0"/>
    <xf numFmtId="0" fontId="4" fillId="0" borderId="3" pivotButton="0" quotePrefix="0" xfId="0"/>
    <xf numFmtId="0" fontId="4" fillId="0" borderId="45" pivotButton="0" quotePrefix="0" xfId="0"/>
    <xf numFmtId="0" fontId="5" fillId="0" borderId="3" pivotButton="0" quotePrefix="0" xfId="0"/>
    <xf numFmtId="0" fontId="5" fillId="0" borderId="45" pivotButton="0" quotePrefix="0" xfId="0"/>
    <xf numFmtId="166" fontId="4" fillId="0" borderId="3" applyAlignment="1" pivotButton="0" quotePrefix="0" xfId="0">
      <alignment horizontal="center"/>
    </xf>
    <xf numFmtId="167" fontId="4" fillId="0" borderId="3" pivotButton="0" quotePrefix="0" xfId="0"/>
    <xf numFmtId="167" fontId="4" fillId="0" borderId="45" pivotButton="0" quotePrefix="0" xfId="0"/>
    <xf numFmtId="0" fontId="12" fillId="0" borderId="42" applyAlignment="1" pivotButton="0" quotePrefix="0" xfId="0">
      <alignment vertical="top" wrapText="1"/>
    </xf>
    <xf numFmtId="0" fontId="0" fillId="0" borderId="34" applyAlignment="1" pivotButton="0" quotePrefix="0" xfId="0">
      <alignment horizontal="center"/>
    </xf>
    <xf numFmtId="0" fontId="0" fillId="0" borderId="34" pivotButton="0" quotePrefix="0" xfId="0"/>
    <xf numFmtId="0" fontId="12" fillId="0" borderId="34" applyAlignment="1" pivotButton="0" quotePrefix="0" xfId="0">
      <alignment vertical="top" wrapText="1"/>
    </xf>
    <xf numFmtId="0" fontId="12" fillId="0" borderId="43" applyAlignment="1" pivotButton="0" quotePrefix="0" xfId="0">
      <alignment vertical="top" wrapText="1"/>
    </xf>
    <xf numFmtId="0" fontId="6" fillId="0" borderId="0" applyAlignment="1" pivotButton="0" quotePrefix="0" xfId="0">
      <alignment horizontal="center"/>
    </xf>
    <xf numFmtId="0" fontId="6" fillId="0" borderId="9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54" applyAlignment="1" pivotButton="0" quotePrefix="0" xfId="0">
      <alignment horizontal="left"/>
    </xf>
    <xf numFmtId="0" fontId="27" fillId="0" borderId="0" applyAlignment="1" pivotButton="0" quotePrefix="0" xfId="0">
      <alignment horizontal="center"/>
    </xf>
    <xf numFmtId="0" fontId="4" fillId="0" borderId="20" applyAlignment="1" pivotButton="0" quotePrefix="0" xfId="0">
      <alignment horizontal="center" vertical="center" wrapText="1"/>
    </xf>
    <xf numFmtId="0" fontId="4" fillId="0" borderId="55" applyAlignment="1" pivotButton="0" quotePrefix="0" xfId="0">
      <alignment horizontal="center" vertical="center" wrapText="1"/>
    </xf>
    <xf numFmtId="0" fontId="4" fillId="0" borderId="44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/>
    </xf>
    <xf numFmtId="0" fontId="5" fillId="0" borderId="56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5" fillId="0" borderId="46" applyAlignment="1" pivotButton="0" quotePrefix="0" xfId="0">
      <alignment horizontal="center"/>
    </xf>
    <xf numFmtId="0" fontId="4" fillId="0" borderId="56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12" fillId="0" borderId="9" applyAlignment="1" pivotButton="0" quotePrefix="0" xfId="0">
      <alignment horizontal="center" vertical="top" wrapText="1"/>
    </xf>
    <xf numFmtId="0" fontId="11" fillId="0" borderId="20" applyAlignment="1" pivotButton="0" quotePrefix="0" xfId="0">
      <alignment horizontal="center"/>
    </xf>
    <xf numFmtId="0" fontId="3" fillId="0" borderId="5" applyAlignment="1" pivotButton="0" quotePrefix="0" xfId="0">
      <alignment horizontal="left"/>
    </xf>
    <xf numFmtId="0" fontId="20" fillId="8" borderId="39" applyAlignment="1" pivotButton="0" quotePrefix="0" xfId="1">
      <alignment horizontal="center" vertical="center"/>
    </xf>
    <xf numFmtId="0" fontId="20" fillId="8" borderId="38" applyAlignment="1" pivotButton="0" quotePrefix="0" xfId="1">
      <alignment horizontal="center" vertical="center"/>
    </xf>
    <xf numFmtId="0" fontId="32" fillId="0" borderId="0" applyAlignment="1" pivotButton="0" quotePrefix="0" xfId="1">
      <alignment horizontal="left" shrinkToFit="1"/>
    </xf>
    <xf numFmtId="0" fontId="15" fillId="0" borderId="0" applyAlignment="1" pivotButton="0" quotePrefix="0" xfId="1">
      <alignment horizontal="left" shrinkToFit="1"/>
    </xf>
    <xf numFmtId="0" fontId="20" fillId="3" borderId="10" applyAlignment="1" pivotButton="0" quotePrefix="0" xfId="1">
      <alignment horizontal="center" vertical="center"/>
    </xf>
    <xf numFmtId="0" fontId="20" fillId="3" borderId="15" applyAlignment="1" pivotButton="0" quotePrefix="0" xfId="1">
      <alignment horizontal="center" vertical="center"/>
    </xf>
    <xf numFmtId="0" fontId="20" fillId="0" borderId="23" applyAlignment="1" pivotButton="0" quotePrefix="0" xfId="1">
      <alignment horizontal="center" vertical="center"/>
    </xf>
    <xf numFmtId="0" fontId="20" fillId="0" borderId="24" applyAlignment="1" pivotButton="0" quotePrefix="0" xfId="1">
      <alignment horizontal="center" vertical="center"/>
    </xf>
    <xf numFmtId="0" fontId="20" fillId="8" borderId="27" applyAlignment="1" pivotButton="0" quotePrefix="0" xfId="1">
      <alignment horizontal="center" vertical="center"/>
    </xf>
    <xf numFmtId="0" fontId="20" fillId="8" borderId="28" applyAlignment="1" pivotButton="0" quotePrefix="0" xfId="1">
      <alignment horizontal="center" vertical="center"/>
    </xf>
    <xf numFmtId="0" fontId="20" fillId="3" borderId="36" applyAlignment="1" pivotButton="0" quotePrefix="0" xfId="1">
      <alignment horizontal="center" vertical="center"/>
    </xf>
    <xf numFmtId="0" fontId="20" fillId="3" borderId="37" applyAlignment="1" pivotButton="0" quotePrefix="0" xfId="1">
      <alignment horizontal="center" vertical="center"/>
    </xf>
    <xf numFmtId="0" fontId="20" fillId="3" borderId="38" applyAlignment="1" pivotButton="0" quotePrefix="0" xfId="1">
      <alignment horizontal="center" vertical="center"/>
    </xf>
    <xf numFmtId="164" fontId="20" fillId="0" borderId="21" applyAlignment="1" pivotButton="0" quotePrefix="0" xfId="2">
      <alignment horizontal="right" vertical="center"/>
    </xf>
    <xf numFmtId="164" fontId="20" fillId="5" borderId="21" applyAlignment="1" pivotButton="0" quotePrefix="0" xfId="2">
      <alignment horizontal="right" vertical="center"/>
    </xf>
    <xf numFmtId="164" fontId="20" fillId="0" borderId="26" applyAlignment="1" pivotButton="0" quotePrefix="0" xfId="2">
      <alignment horizontal="left" vertical="center"/>
    </xf>
    <xf numFmtId="164" fontId="20" fillId="8" borderId="29" applyAlignment="1" pivotButton="0" quotePrefix="0" xfId="2">
      <alignment horizontal="left" vertical="center"/>
    </xf>
    <xf numFmtId="164" fontId="20" fillId="0" borderId="57" applyAlignment="1" pivotButton="0" quotePrefix="0" xfId="2">
      <alignment horizontal="left" vertical="center"/>
    </xf>
    <xf numFmtId="0" fontId="0" fillId="0" borderId="37" pivotButton="0" quotePrefix="0" xfId="0"/>
    <xf numFmtId="0" fontId="0" fillId="0" borderId="38" pivotButton="0" quotePrefix="0" xfId="0"/>
    <xf numFmtId="0" fontId="0" fillId="0" borderId="55" pivotButton="0" quotePrefix="0" xfId="0"/>
    <xf numFmtId="0" fontId="0" fillId="0" borderId="44" pivotButton="0" quotePrefix="0" xfId="0"/>
    <xf numFmtId="0" fontId="0" fillId="0" borderId="54" pivotButton="0" quotePrefix="0" xfId="0"/>
    <xf numFmtId="0" fontId="0" fillId="0" borderId="17" pivotButton="0" quotePrefix="0" xfId="0"/>
    <xf numFmtId="0" fontId="0" fillId="0" borderId="18" pivotButton="0" quotePrefix="0" xfId="0"/>
    <xf numFmtId="0" fontId="5" fillId="0" borderId="60" applyAlignment="1" pivotButton="0" quotePrefix="0" xfId="0">
      <alignment horizontal="center"/>
    </xf>
    <xf numFmtId="0" fontId="0" fillId="0" borderId="4" pivotButton="0" quotePrefix="0" xfId="0"/>
    <xf numFmtId="0" fontId="0" fillId="0" borderId="46" pivotButton="0" quotePrefix="0" xfId="0"/>
    <xf numFmtId="0" fontId="5" fillId="0" borderId="58" applyAlignment="1" pivotButton="0" quotePrefix="0" xfId="0">
      <alignment horizontal="center"/>
    </xf>
    <xf numFmtId="0" fontId="0" fillId="0" borderId="2" pivotButton="0" quotePrefix="0" xfId="0"/>
    <xf numFmtId="166" fontId="4" fillId="0" borderId="3" applyAlignment="1" pivotButton="0" quotePrefix="0" xfId="0">
      <alignment horizontal="center"/>
    </xf>
    <xf numFmtId="167" fontId="4" fillId="0" borderId="3" pivotButton="0" quotePrefix="0" xfId="0"/>
    <xf numFmtId="167" fontId="4" fillId="0" borderId="45" pivotButton="0" quotePrefix="0" xfId="0"/>
    <xf numFmtId="164" fontId="23" fillId="0" borderId="0" applyAlignment="1" pivotButton="0" quotePrefix="0" xfId="2">
      <alignment horizontal="centerContinuous"/>
    </xf>
    <xf numFmtId="164" fontId="20" fillId="3" borderId="12" applyAlignment="1" pivotButton="0" quotePrefix="0" xfId="2">
      <alignment horizontal="centerContinuous" vertical="center"/>
    </xf>
    <xf numFmtId="164" fontId="20" fillId="3" borderId="31" applyAlignment="1" pivotButton="0" quotePrefix="0" xfId="2">
      <alignment horizontal="center" vertical="center"/>
    </xf>
    <xf numFmtId="164" fontId="20" fillId="3" borderId="32" applyAlignment="1" pivotButton="0" quotePrefix="0" xfId="2">
      <alignment horizontal="centerContinuous" vertical="center"/>
    </xf>
    <xf numFmtId="164" fontId="20" fillId="3" borderId="13" applyAlignment="1" pivotButton="0" quotePrefix="0" xfId="2">
      <alignment horizontal="centerContinuous" vertical="center"/>
    </xf>
    <xf numFmtId="164" fontId="20" fillId="3" borderId="14" applyAlignment="1" pivotButton="0" quotePrefix="0" xfId="2">
      <alignment horizontal="centerContinuous" vertical="center"/>
    </xf>
    <xf numFmtId="0" fontId="0" fillId="0" borderId="15" pivotButton="0" quotePrefix="0" xfId="0"/>
    <xf numFmtId="164" fontId="20" fillId="3" borderId="17" applyAlignment="1" pivotButton="0" quotePrefix="0" xfId="2">
      <alignment horizontal="centerContinuous" vertical="center"/>
    </xf>
    <xf numFmtId="164" fontId="20" fillId="3" borderId="18" applyAlignment="1" pivotButton="0" quotePrefix="0" xfId="2">
      <alignment horizontal="centerContinuous" vertical="center"/>
    </xf>
    <xf numFmtId="164" fontId="20" fillId="3" borderId="19" applyAlignment="1" pivotButton="0" quotePrefix="0" xfId="2">
      <alignment horizontal="centerContinuous" vertical="center"/>
    </xf>
    <xf numFmtId="164" fontId="20" fillId="3" borderId="16" applyAlignment="1" pivotButton="0" quotePrefix="0" xfId="2">
      <alignment horizontal="center" vertical="center"/>
    </xf>
    <xf numFmtId="164" fontId="20" fillId="3" borderId="20" applyAlignment="1" pivotButton="0" quotePrefix="0" xfId="2">
      <alignment horizontal="center" vertical="center"/>
    </xf>
    <xf numFmtId="164" fontId="20" fillId="3" borderId="21" applyAlignment="1" pivotButton="0" quotePrefix="0" xfId="2">
      <alignment horizontal="center" vertical="center" shrinkToFit="1"/>
    </xf>
    <xf numFmtId="164" fontId="20" fillId="5" borderId="16" applyAlignment="1" pivotButton="0" quotePrefix="0" xfId="2">
      <alignment horizontal="right" vertical="center"/>
    </xf>
    <xf numFmtId="164" fontId="20" fillId="0" borderId="16" applyAlignment="1" pivotButton="0" quotePrefix="0" xfId="1">
      <alignment horizontal="right" vertical="center"/>
    </xf>
    <xf numFmtId="164" fontId="20" fillId="0" borderId="16" applyAlignment="1" pivotButton="0" quotePrefix="0" xfId="2">
      <alignment horizontal="right" vertical="center"/>
    </xf>
    <xf numFmtId="164" fontId="20" fillId="0" borderId="21" applyAlignment="1" pivotButton="0" quotePrefix="0" xfId="2">
      <alignment horizontal="right" vertical="center"/>
    </xf>
    <xf numFmtId="164" fontId="20" fillId="5" borderId="21" applyAlignment="1" pivotButton="0" quotePrefix="0" xfId="2">
      <alignment horizontal="right" vertical="center"/>
    </xf>
    <xf numFmtId="165" fontId="17" fillId="4" borderId="0" applyAlignment="1" pivotButton="0" quotePrefix="0" xfId="1">
      <alignment vertical="center"/>
    </xf>
    <xf numFmtId="0" fontId="20" fillId="0" borderId="64" applyAlignment="1" pivotButton="0" quotePrefix="0" xfId="1">
      <alignment horizontal="center" vertical="center"/>
    </xf>
    <xf numFmtId="0" fontId="0" fillId="0" borderId="24" pivotButton="0" quotePrefix="0" xfId="0"/>
    <xf numFmtId="164" fontId="20" fillId="3" borderId="25" applyAlignment="1" pivotButton="0" quotePrefix="0" xfId="2">
      <alignment horizontal="left" vertical="center"/>
    </xf>
    <xf numFmtId="164" fontId="20" fillId="0" borderId="25" applyAlignment="1" pivotButton="0" quotePrefix="0" xfId="2">
      <alignment horizontal="left" vertical="center"/>
    </xf>
    <xf numFmtId="164" fontId="20" fillId="0" borderId="26" applyAlignment="1" pivotButton="0" quotePrefix="0" xfId="2">
      <alignment horizontal="left" vertical="center"/>
    </xf>
    <xf numFmtId="0" fontId="20" fillId="8" borderId="67" applyAlignment="1" pivotButton="0" quotePrefix="0" xfId="1">
      <alignment horizontal="center" vertical="center"/>
    </xf>
    <xf numFmtId="0" fontId="0" fillId="0" borderId="28" pivotButton="0" quotePrefix="0" xfId="0"/>
    <xf numFmtId="164" fontId="20" fillId="5" borderId="29" applyAlignment="1" pivotButton="0" quotePrefix="0" xfId="2">
      <alignment horizontal="center" vertical="center"/>
    </xf>
    <xf numFmtId="164" fontId="20" fillId="8" borderId="29" applyAlignment="1" pivotButton="0" quotePrefix="0" xfId="2">
      <alignment horizontal="left" vertical="center"/>
    </xf>
    <xf numFmtId="164" fontId="20" fillId="0" borderId="29" applyAlignment="1" pivotButton="0" quotePrefix="0" xfId="2">
      <alignment horizontal="center" vertical="center"/>
    </xf>
    <xf numFmtId="164" fontId="20" fillId="0" borderId="57" applyAlignment="1" pivotButton="0" quotePrefix="0" xfId="2">
      <alignment horizontal="left" vertical="center"/>
    </xf>
    <xf numFmtId="164" fontId="20" fillId="0" borderId="0" applyAlignment="1" pivotButton="0" quotePrefix="0" xfId="2">
      <alignment horizontal="center" vertical="center"/>
    </xf>
    <xf numFmtId="164" fontId="20" fillId="0" borderId="0" applyAlignment="1" pivotButton="0" quotePrefix="0" xfId="2">
      <alignment horizontal="left" vertical="center"/>
    </xf>
    <xf numFmtId="164" fontId="18" fillId="0" borderId="0" applyAlignment="1" pivotButton="0" quotePrefix="0" xfId="2">
      <alignment horizontal="left" vertical="center"/>
    </xf>
    <xf numFmtId="164" fontId="20" fillId="3" borderId="31" applyAlignment="1" pivotButton="0" quotePrefix="0" xfId="2">
      <alignment horizontal="centerContinuous" vertical="center"/>
    </xf>
    <xf numFmtId="164" fontId="18" fillId="3" borderId="14" applyAlignment="1" pivotButton="0" quotePrefix="0" xfId="2">
      <alignment horizontal="centerContinuous" vertical="center"/>
    </xf>
    <xf numFmtId="164" fontId="18" fillId="3" borderId="19" applyAlignment="1" pivotButton="0" quotePrefix="0" xfId="2">
      <alignment horizontal="centerContinuous" vertical="center"/>
    </xf>
    <xf numFmtId="164" fontId="18" fillId="3" borderId="21" applyAlignment="1" pivotButton="0" quotePrefix="0" xfId="2">
      <alignment horizontal="center" vertical="center" shrinkToFit="1"/>
    </xf>
    <xf numFmtId="164" fontId="18" fillId="0" borderId="26" applyAlignment="1" pivotButton="0" quotePrefix="0" xfId="2">
      <alignment horizontal="right" vertical="center"/>
    </xf>
    <xf numFmtId="164" fontId="20" fillId="0" borderId="20" applyAlignment="1" pivotButton="0" quotePrefix="0" xfId="2">
      <alignment horizontal="right" vertical="center"/>
    </xf>
    <xf numFmtId="164" fontId="18" fillId="0" borderId="33" applyAlignment="1" pivotButton="0" quotePrefix="0" xfId="2">
      <alignment horizontal="right" vertical="center"/>
    </xf>
    <xf numFmtId="164" fontId="20" fillId="0" borderId="47" applyAlignment="1" pivotButton="0" quotePrefix="0" xfId="2">
      <alignment horizontal="right" vertical="center"/>
    </xf>
    <xf numFmtId="164" fontId="18" fillId="0" borderId="50" applyAlignment="1" pivotButton="0" quotePrefix="0" xfId="2">
      <alignment horizontal="right" vertical="center"/>
    </xf>
    <xf numFmtId="164" fontId="18" fillId="0" borderId="26" applyAlignment="1" pivotButton="0" quotePrefix="0" xfId="2">
      <alignment horizontal="left" vertical="center"/>
    </xf>
    <xf numFmtId="164" fontId="20" fillId="8" borderId="36" applyAlignment="1" pivotButton="0" quotePrefix="0" xfId="2">
      <alignment horizontal="left" vertical="center"/>
    </xf>
    <xf numFmtId="164" fontId="20" fillId="0" borderId="29" applyAlignment="1" pivotButton="0" quotePrefix="0" xfId="2">
      <alignment horizontal="left" vertical="center"/>
    </xf>
    <xf numFmtId="164" fontId="20" fillId="0" borderId="34" applyAlignment="1" pivotButton="0" quotePrefix="0" xfId="2">
      <alignment horizontal="left" vertical="center"/>
    </xf>
    <xf numFmtId="164" fontId="20" fillId="0" borderId="34" applyAlignment="1" pivotButton="0" quotePrefix="0" xfId="2">
      <alignment horizontal="center" vertical="center"/>
    </xf>
    <xf numFmtId="164" fontId="18" fillId="0" borderId="34" applyAlignment="1" pivotButton="0" quotePrefix="0" xfId="2">
      <alignment horizontal="left" vertical="center"/>
    </xf>
    <xf numFmtId="164" fontId="20" fillId="3" borderId="32" applyAlignment="1" pivotButton="0" quotePrefix="0" xfId="2">
      <alignment horizontal="center" vertical="center"/>
    </xf>
    <xf numFmtId="164" fontId="18" fillId="3" borderId="35" applyAlignment="1" pivotButton="0" quotePrefix="0" xfId="2">
      <alignment horizontal="centerContinuous" vertical="center"/>
    </xf>
    <xf numFmtId="0" fontId="20" fillId="3" borderId="9" applyAlignment="1" pivotButton="0" quotePrefix="0" xfId="1">
      <alignment horizontal="center" vertical="center"/>
    </xf>
    <xf numFmtId="164" fontId="20" fillId="3" borderId="16" applyAlignment="1" pivotButton="0" quotePrefix="1" xfId="2">
      <alignment horizontal="center" vertical="center"/>
    </xf>
    <xf numFmtId="164" fontId="20" fillId="7" borderId="16" applyAlignment="1" pivotButton="0" quotePrefix="0" xfId="2">
      <alignment horizontal="center" vertical="center"/>
    </xf>
    <xf numFmtId="164" fontId="20" fillId="3" borderId="20" applyAlignment="1" pivotButton="0" quotePrefix="0" xfId="2">
      <alignment horizontal="center" vertical="center" shrinkToFit="1"/>
    </xf>
    <xf numFmtId="164" fontId="18" fillId="3" borderId="21" applyAlignment="1" pivotButton="0" quotePrefix="0" xfId="2">
      <alignment horizontal="center" vertical="center"/>
    </xf>
    <xf numFmtId="164" fontId="20" fillId="7" borderId="16" applyAlignment="1" pivotButton="0" quotePrefix="0" xfId="1">
      <alignment horizontal="right" vertical="center"/>
    </xf>
    <xf numFmtId="164" fontId="20" fillId="4" borderId="16" applyAlignment="1" pivotButton="0" quotePrefix="0" xfId="2">
      <alignment horizontal="right" vertical="center"/>
    </xf>
    <xf numFmtId="164" fontId="18" fillId="4" borderId="21" applyAlignment="1" pivotButton="0" quotePrefix="0" xfId="2">
      <alignment horizontal="right" vertical="center"/>
    </xf>
    <xf numFmtId="164" fontId="20" fillId="7" borderId="16" applyAlignment="1" pivotButton="0" quotePrefix="0" xfId="2">
      <alignment horizontal="right" vertical="center"/>
    </xf>
    <xf numFmtId="164" fontId="18" fillId="5" borderId="21" applyAlignment="1" pivotButton="0" quotePrefix="0" xfId="2">
      <alignment horizontal="right" vertical="center"/>
    </xf>
    <xf numFmtId="0" fontId="20" fillId="8" borderId="62" applyAlignment="1" pivotButton="0" quotePrefix="0" xfId="1">
      <alignment horizontal="center" vertical="center"/>
    </xf>
    <xf numFmtId="164" fontId="20" fillId="5" borderId="36" applyAlignment="1" pivotButton="0" quotePrefix="0" xfId="2">
      <alignment horizontal="center" vertical="center"/>
    </xf>
    <xf numFmtId="164" fontId="20" fillId="0" borderId="36" applyAlignment="1" pivotButton="0" quotePrefix="0" xfId="2">
      <alignment horizontal="left" vertical="center"/>
    </xf>
    <xf numFmtId="164" fontId="20" fillId="0" borderId="36" applyAlignment="1" pivotButton="0" quotePrefix="0" xfId="2">
      <alignment horizontal="center" vertical="center"/>
    </xf>
    <xf numFmtId="164" fontId="20" fillId="0" borderId="9" applyAlignment="1" pivotButton="0" quotePrefix="0" xfId="2">
      <alignment horizontal="left" vertical="center"/>
    </xf>
    <xf numFmtId="164" fontId="18" fillId="0" borderId="33" applyAlignment="1" pivotButton="0" quotePrefix="0" xfId="2">
      <alignment horizontal="left" vertical="center"/>
    </xf>
    <xf numFmtId="164" fontId="34" fillId="0" borderId="0" applyAlignment="1" pivotButton="0" quotePrefix="0" xfId="2">
      <alignment horizontal="centerContinuous"/>
    </xf>
  </cellXfs>
  <cellStyles count="4">
    <cellStyle name="표준" xfId="0" builtinId="0"/>
    <cellStyle name="표준 2" xfId="1"/>
    <cellStyle name="쉼표 [0] 2" xfId="2"/>
    <cellStyle name="표준 3" xfId="3"/>
  </cellStyles>
  <dxfs count="112">
    <dxf>
      <fill>
        <patternFill patternType="solid">
          <fgColor rgb="FF00FFFF"/>
          <bgColor rgb="FF00FFFF"/>
        </patternFill>
      </fill>
    </dxf>
    <dxf>
      <font>
        <b val="1"/>
        <color rgb="FF000000"/>
      </font>
      <fill>
        <patternFill patternType="solid">
          <fgColor rgb="FFFFFF00"/>
          <bgColor rgb="FFFFFF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FF"/>
          <bgColor rgb="FF00FFFF"/>
        </patternFill>
      </fill>
    </dxf>
    <dxf>
      <font>
        <b val="1"/>
        <color rgb="FF000000"/>
      </font>
      <fill>
        <patternFill patternType="solid">
          <fgColor rgb="FFFFFF00"/>
          <bgColor rgb="FFFFFF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FF"/>
          <bgColor rgb="FF00FFFF"/>
        </patternFill>
      </fill>
    </dxf>
    <dxf>
      <font>
        <b val="1"/>
        <color rgb="FF000000"/>
      </font>
      <fill>
        <patternFill patternType="solid">
          <fgColor rgb="FFFFFF00"/>
          <bgColor rgb="FFFFFF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FF"/>
          <bgColor rgb="FF00FFFF"/>
        </patternFill>
      </fill>
    </dxf>
    <dxf>
      <font>
        <b val="1"/>
        <color rgb="FF000000"/>
      </font>
      <fill>
        <patternFill patternType="solid">
          <fgColor rgb="FFFFFF00"/>
          <bgColor rgb="FFFFFF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FF"/>
          <bgColor rgb="FF00FFFF"/>
        </patternFill>
      </fill>
    </dxf>
    <dxf>
      <font>
        <b val="1"/>
        <color rgb="FF000000"/>
      </font>
      <fill>
        <patternFill patternType="solid">
          <fgColor rgb="FFFFFF00"/>
          <bgColor rgb="FFFFFF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FF"/>
          <bgColor rgb="FF00FFFF"/>
        </patternFill>
      </fill>
    </dxf>
    <dxf>
      <font>
        <b val="1"/>
        <color rgb="FF000000"/>
      </font>
      <fill>
        <patternFill patternType="solid">
          <fgColor rgb="FFFFFF00"/>
          <bgColor rgb="FFFFFF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FF"/>
          <bgColor rgb="FF00FFFF"/>
        </patternFill>
      </fill>
    </dxf>
    <dxf>
      <font>
        <b val="1"/>
        <color rgb="FF000000"/>
      </font>
      <fill>
        <patternFill patternType="solid">
          <fgColor rgb="FFFFFF00"/>
          <bgColor rgb="FFFFFF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FF"/>
          <bgColor rgb="FF00FFFF"/>
        </patternFill>
      </fill>
    </dxf>
    <dxf>
      <font>
        <b val="1"/>
        <color rgb="FF000000"/>
      </font>
      <fill>
        <patternFill patternType="solid">
          <fgColor rgb="FFFFFF00"/>
          <bgColor rgb="FFFFFF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theme="1"/>
      </font>
      <fill>
        <patternFill patternType="solid">
          <bgColor rgb="FFFFFF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CC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CC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color rgb="FFFFFFCC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rgb="FF00FFFF"/>
          <bgColor rgb="FF00FFFF"/>
        </patternFill>
      </fill>
    </dxf>
    <dxf>
      <font>
        <b val="1"/>
        <color rgb="FF000000"/>
      </font>
      <fill>
        <patternFill patternType="solid">
          <fgColor rgb="FFFFFF00"/>
          <bgColor rgb="FFFFFF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FF"/>
          <bgColor rgb="FF00FFFF"/>
        </patternFill>
      </fill>
    </dxf>
    <dxf>
      <font>
        <b val="1"/>
        <color rgb="FF000000"/>
      </font>
      <fill>
        <patternFill patternType="solid">
          <fgColor rgb="FFFFFF00"/>
          <bgColor rgb="FFFFFF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</font>
      <fill>
        <patternFill patternType="solid">
          <fgColor rgb="FF00FFFF"/>
          <bgColor rgb="FF00FFFF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</font>
      <fill>
        <patternFill patternType="solid">
          <fgColor rgb="FF00FFFF"/>
          <bgColor rgb="FF00FFFF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FF"/>
          <bgColor rgb="FF00FFFF"/>
        </patternFill>
      </fill>
    </dxf>
    <dxf>
      <font>
        <b val="1"/>
        <color rgb="FF000000"/>
      </font>
      <fill>
        <patternFill patternType="solid">
          <fgColor rgb="FFFFFF00"/>
          <bgColor rgb="FFFFFF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FF"/>
          <bgColor rgb="FF00FFFF"/>
        </patternFill>
      </fill>
    </dxf>
    <dxf>
      <font>
        <b val="1"/>
        <color rgb="FF000000"/>
      </font>
      <fill>
        <patternFill patternType="solid">
          <fgColor rgb="FFFFFF00"/>
          <bgColor rgb="FFFFFF00"/>
        </patternFill>
      </fill>
    </dxf>
    <dxf>
      <font>
        <b val="1"/>
      </font>
      <fill>
        <patternFill patternType="solid">
          <fgColor rgb="FF00FFFF"/>
          <bgColor rgb="FF00FFFF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FF"/>
          <bgColor rgb="FF00FFFF"/>
        </patternFill>
      </fill>
    </dxf>
    <dxf>
      <font>
        <b val="1"/>
        <color rgb="FF000000"/>
      </font>
      <fill>
        <patternFill patternType="solid">
          <fgColor rgb="FFFFFF00"/>
          <bgColor rgb="FFFFFF00"/>
        </patternFill>
      </fill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S93"/>
  <sheetViews>
    <sheetView workbookViewId="0">
      <selection activeCell="N12" sqref="N12"/>
    </sheetView>
  </sheetViews>
  <sheetFormatPr baseColWidth="8" defaultColWidth="12.5703125" defaultRowHeight="15.75" customHeight="1"/>
  <cols>
    <col width="3.85546875" customWidth="1" min="1" max="1"/>
    <col width="10.140625" customWidth="1" min="2" max="2"/>
    <col hidden="1" width="9.42578125" customWidth="1" min="3" max="5"/>
    <col width="10.5703125" customWidth="1" min="6" max="7"/>
    <col width="12.42578125" customWidth="1" min="8" max="8"/>
    <col width="9.7109375" customWidth="1" min="9" max="9"/>
    <col width="10.140625" customWidth="1" min="10" max="10"/>
    <col width="14.42578125" customWidth="1" min="11" max="11"/>
    <col width="11.42578125" customWidth="1" min="12" max="12"/>
    <col width="10.7109375" customWidth="1" min="13" max="13"/>
    <col width="10.28515625" customWidth="1" min="14" max="14"/>
    <col width="11.42578125" customWidth="1" min="15" max="15"/>
    <col width="10" customWidth="1" min="16" max="16"/>
    <col width="9.7109375" customWidth="1" min="17" max="17"/>
    <col width="10.7109375" customWidth="1" min="18" max="18"/>
    <col width="12.42578125" customWidth="1" min="19" max="19"/>
    <col width="11.7109375" customWidth="1" min="20" max="20"/>
    <col width="10.7109375" customWidth="1" min="21" max="21"/>
    <col width="10" customWidth="1" min="22" max="27"/>
    <col width="10.28515625" customWidth="1" min="28" max="28"/>
    <col width="10" customWidth="1" min="29" max="33"/>
    <col hidden="1" min="53" max="54"/>
    <col width="2.7109375" customWidth="1" min="97" max="97"/>
  </cols>
  <sheetData>
    <row r="1" ht="21" customHeight="1">
      <c r="A1" s="130" t="n">
        <v>1</v>
      </c>
      <c r="B1" s="7" t="n"/>
      <c r="C1" s="175" t="n"/>
      <c r="D1" s="175" t="n"/>
      <c r="E1" s="175" t="n"/>
      <c r="F1" s="175" t="n"/>
      <c r="G1" s="175" t="n"/>
      <c r="H1" s="175" t="n"/>
      <c r="I1" s="175" t="n"/>
      <c r="J1" s="175" t="n"/>
      <c r="K1" s="175" t="n"/>
      <c r="L1" s="175" t="n"/>
      <c r="M1" s="175" t="n"/>
      <c r="N1" s="175" t="n"/>
      <c r="O1" s="175" t="n"/>
      <c r="P1" s="175" t="n"/>
      <c r="Q1" s="175" t="n"/>
      <c r="R1" s="175" t="n"/>
      <c r="S1" s="175" t="n"/>
      <c r="T1" s="175" t="n"/>
      <c r="U1" s="175" t="n"/>
      <c r="V1" s="175" t="n"/>
      <c r="W1" s="175" t="n"/>
      <c r="X1" s="175" t="n"/>
      <c r="Y1" s="175" t="n"/>
      <c r="Z1" s="175" t="n"/>
      <c r="AA1" s="175" t="n"/>
      <c r="AB1" s="175" t="n"/>
      <c r="AC1" s="175" t="n"/>
      <c r="AD1" s="175" t="n"/>
      <c r="AE1" s="175" t="n"/>
      <c r="AF1" s="175" t="n"/>
      <c r="AG1" s="175" t="n"/>
      <c r="AH1" s="175" t="n"/>
      <c r="AI1" s="175" t="n"/>
      <c r="AJ1" s="175" t="n"/>
      <c r="AK1" s="175" t="n"/>
      <c r="AL1" s="175" t="n"/>
      <c r="AM1" s="175" t="n"/>
      <c r="AN1" s="175" t="n"/>
      <c r="AO1" s="175" t="n"/>
      <c r="AP1" s="175" t="n"/>
      <c r="AQ1" s="175" t="n"/>
      <c r="AR1" s="175" t="n"/>
      <c r="AS1" s="175" t="n"/>
      <c r="AT1" s="175" t="n"/>
      <c r="AU1" s="175" t="n"/>
      <c r="AV1" s="175" t="n"/>
      <c r="AW1" s="175" t="n"/>
      <c r="AX1" s="175" t="n"/>
      <c r="AY1" s="175" t="n"/>
      <c r="AZ1" s="175" t="n"/>
      <c r="BA1" s="175" t="n"/>
      <c r="BB1" s="175" t="n"/>
      <c r="BC1" s="175" t="n"/>
      <c r="BD1" s="175" t="n"/>
      <c r="BE1" s="175" t="n"/>
      <c r="BF1" s="175" t="n"/>
      <c r="BG1" s="175" t="n"/>
      <c r="BH1" s="175" t="n"/>
      <c r="BI1" s="175" t="n"/>
      <c r="BJ1" s="175" t="n"/>
      <c r="BK1" s="175" t="n"/>
      <c r="BL1" s="175" t="n"/>
      <c r="BM1" s="175" t="n"/>
      <c r="BN1" s="175" t="n"/>
      <c r="BO1" s="175" t="n"/>
      <c r="BP1" s="175" t="n"/>
      <c r="BQ1" s="175" t="n"/>
      <c r="BR1" s="175" t="n"/>
      <c r="BS1" s="175" t="n"/>
      <c r="BT1" s="175" t="n"/>
      <c r="BU1" s="175" t="n"/>
      <c r="BV1" s="175" t="n"/>
      <c r="BW1" s="175" t="n"/>
      <c r="BX1" s="175" t="n"/>
      <c r="BY1" s="175" t="n"/>
      <c r="BZ1" s="175" t="n"/>
      <c r="CA1" s="175" t="n"/>
      <c r="CB1" s="3" t="n"/>
    </row>
    <row r="2" ht="21" customHeight="1">
      <c r="B2" s="183" t="inlineStr">
        <is>
          <t>주택변전소 운전일지[Ⅲ]</t>
        </is>
      </c>
      <c r="C2" s="211" t="n"/>
      <c r="D2" s="211" t="n"/>
      <c r="E2" s="211" t="n"/>
      <c r="F2" s="211" t="n"/>
      <c r="G2" s="211" t="n"/>
      <c r="H2" s="211" t="n"/>
      <c r="I2" s="211" t="n"/>
      <c r="J2" s="211" t="n"/>
      <c r="K2" s="211" t="n"/>
      <c r="L2" s="211" t="n"/>
      <c r="M2" s="211" t="n"/>
      <c r="N2" s="211" t="n"/>
      <c r="O2" s="211" t="n"/>
      <c r="P2" s="211" t="n"/>
      <c r="Q2" s="211" t="n"/>
      <c r="R2" s="211" t="n"/>
      <c r="S2" s="211" t="n"/>
      <c r="T2" s="211" t="n"/>
      <c r="U2" s="212" t="n"/>
      <c r="V2" s="171" t="n"/>
      <c r="BA2" s="175" t="n"/>
      <c r="CB2" s="171" t="n"/>
      <c r="CM2" s="173" t="n"/>
      <c r="CS2" s="133" t="n"/>
    </row>
    <row r="3" ht="12.75" customHeight="1">
      <c r="A3" s="1" t="n"/>
      <c r="B3" s="182" t="inlineStr">
        <is>
          <t>구분</t>
        </is>
      </c>
      <c r="C3" s="174" t="n"/>
      <c r="D3" s="212" t="n"/>
      <c r="E3" s="174" t="n"/>
      <c r="F3" s="174" t="inlineStr">
        <is>
          <t>No.3 6.6KV INCOMMING</t>
        </is>
      </c>
      <c r="G3" s="211" t="n"/>
      <c r="H3" s="211" t="n"/>
      <c r="I3" s="211" t="n"/>
      <c r="J3" s="211" t="n"/>
      <c r="K3" s="211" t="n"/>
      <c r="L3" s="212" t="n"/>
      <c r="M3" s="174" t="inlineStr">
        <is>
          <t>54,55 S/S</t>
        </is>
      </c>
      <c r="N3" s="211" t="n"/>
      <c r="O3" s="212" t="n"/>
      <c r="P3" s="174" t="inlineStr">
        <is>
          <t>백운쇼핑</t>
        </is>
      </c>
      <c r="Q3" s="211" t="n"/>
      <c r="R3" s="212" t="n"/>
      <c r="S3" s="174" t="inlineStr">
        <is>
          <t>56 S/S</t>
        </is>
      </c>
      <c r="T3" s="211" t="n"/>
      <c r="U3" s="212" t="n"/>
      <c r="V3" s="172" t="n"/>
      <c r="W3" s="174" t="inlineStr">
        <is>
          <t>제철회관</t>
        </is>
      </c>
      <c r="AC3" s="172" t="n"/>
      <c r="AF3" s="172" t="n"/>
      <c r="AI3" s="172" t="n"/>
      <c r="AL3" s="172" t="n"/>
      <c r="AO3" s="172" t="n"/>
      <c r="AR3" s="172" t="n"/>
      <c r="AU3" s="172" t="n"/>
      <c r="AX3" s="172" t="n"/>
      <c r="BA3" s="172" t="n"/>
      <c r="BC3" s="172" t="n"/>
      <c r="BJ3" s="172" t="n"/>
      <c r="BM3" s="172" t="n"/>
      <c r="BP3" s="172" t="n"/>
      <c r="BS3" s="172" t="n"/>
      <c r="BV3" s="172" t="n"/>
      <c r="BY3" s="172" t="n"/>
      <c r="CB3" s="172" t="n"/>
      <c r="CE3" s="172" t="n"/>
      <c r="CG3" s="172" t="n"/>
      <c r="CJ3" s="172" t="n"/>
      <c r="CM3" s="172" t="n"/>
      <c r="CO3" s="172" t="n"/>
      <c r="CQ3" s="172" t="n"/>
      <c r="CS3" s="172" t="n"/>
    </row>
    <row r="4" ht="12.75" customHeight="1">
      <c r="A4" s="1" t="n"/>
      <c r="B4" s="213" t="n"/>
      <c r="C4" s="143" t="n"/>
      <c r="D4" s="143" t="n"/>
      <c r="E4" s="143" t="n"/>
      <c r="F4" s="143" t="inlineStr">
        <is>
          <t>전압</t>
        </is>
      </c>
      <c r="G4" s="143" t="inlineStr">
        <is>
          <t>유효</t>
        </is>
      </c>
      <c r="H4" s="143" t="inlineStr">
        <is>
          <t>역률</t>
        </is>
      </c>
      <c r="I4" s="143" t="inlineStr">
        <is>
          <t>전류</t>
        </is>
      </c>
      <c r="J4" s="143" t="inlineStr">
        <is>
          <t>무효</t>
        </is>
      </c>
      <c r="K4" s="143" t="inlineStr">
        <is>
          <t>주파수</t>
        </is>
      </c>
      <c r="L4" s="170" t="inlineStr">
        <is>
          <t>적산량×4800</t>
        </is>
      </c>
      <c r="M4" s="143" t="inlineStr">
        <is>
          <t>전력</t>
        </is>
      </c>
      <c r="N4" s="143" t="inlineStr">
        <is>
          <t>전류</t>
        </is>
      </c>
      <c r="O4" s="170" t="inlineStr">
        <is>
          <t>적산량×2400</t>
        </is>
      </c>
      <c r="P4" s="143" t="inlineStr">
        <is>
          <t>전력</t>
        </is>
      </c>
      <c r="Q4" s="143" t="inlineStr">
        <is>
          <t>전류</t>
        </is>
      </c>
      <c r="R4" s="170" t="inlineStr">
        <is>
          <t>적산량×2400</t>
        </is>
      </c>
      <c r="S4" s="143" t="inlineStr">
        <is>
          <t>전력</t>
        </is>
      </c>
      <c r="T4" s="143" t="inlineStr">
        <is>
          <t>전류</t>
        </is>
      </c>
      <c r="U4" s="170" t="inlineStr">
        <is>
          <t>적산량×2400</t>
        </is>
      </c>
      <c r="V4" s="4" t="n"/>
      <c r="W4" s="143" t="inlineStr">
        <is>
          <t>전력</t>
        </is>
      </c>
      <c r="X4" s="143" t="inlineStr">
        <is>
          <t>전류</t>
        </is>
      </c>
      <c r="Y4" s="170" t="inlineStr">
        <is>
          <t>적산량×2400</t>
        </is>
      </c>
      <c r="Z4" s="4" t="n"/>
      <c r="AA4" s="4" t="n"/>
      <c r="AB4" s="169" t="n"/>
      <c r="AC4" s="4" t="n"/>
      <c r="AD4" s="4" t="n"/>
      <c r="AE4" s="169" t="n"/>
      <c r="AF4" s="4" t="n"/>
      <c r="AG4" s="4" t="n"/>
      <c r="AH4" s="169" t="n"/>
      <c r="AI4" s="4" t="n"/>
      <c r="AJ4" s="4" t="n"/>
      <c r="AK4" s="169" t="n"/>
      <c r="AL4" s="4" t="n"/>
      <c r="AM4" s="4" t="n"/>
      <c r="AN4" s="169" t="n"/>
      <c r="AO4" s="4" t="n"/>
      <c r="AP4" s="4" t="n"/>
      <c r="AQ4" s="169" t="n"/>
      <c r="AR4" s="4" t="n"/>
      <c r="AS4" s="4" t="n"/>
      <c r="AT4" s="169" t="n"/>
      <c r="AU4" s="4" t="n"/>
      <c r="AV4" s="4" t="n"/>
      <c r="AW4" s="169" t="n"/>
      <c r="AX4" s="4" t="n"/>
      <c r="AY4" s="4" t="n"/>
      <c r="AZ4" s="169" t="n"/>
      <c r="BA4" s="4" t="n"/>
      <c r="BB4" s="4" t="n"/>
      <c r="BC4" s="4" t="n"/>
      <c r="BD4" s="4" t="n"/>
      <c r="BE4" s="4" t="n"/>
      <c r="BF4" s="4" t="n"/>
      <c r="BG4" s="4" t="n"/>
      <c r="BH4" s="4" t="n"/>
      <c r="BI4" s="169" t="n"/>
      <c r="BJ4" s="4" t="n"/>
      <c r="BK4" s="4" t="n"/>
      <c r="BL4" s="169" t="n"/>
      <c r="BM4" s="4" t="n"/>
      <c r="BN4" s="4" t="n"/>
      <c r="BO4" s="169" t="n"/>
      <c r="BP4" s="4" t="n"/>
      <c r="BQ4" s="4" t="n"/>
      <c r="BR4" s="169" t="n"/>
      <c r="BS4" s="4" t="n"/>
      <c r="BT4" s="4" t="n"/>
      <c r="BU4" s="169" t="n"/>
      <c r="BV4" s="4" t="n"/>
      <c r="BW4" s="4" t="n"/>
      <c r="BX4" s="169" t="n"/>
      <c r="BY4" s="4" t="n"/>
      <c r="BZ4" s="4" t="n"/>
      <c r="CA4" s="169" t="n"/>
      <c r="CB4" s="4" t="n"/>
      <c r="CC4" s="4" t="n"/>
      <c r="CD4" s="169" t="n"/>
      <c r="CE4" s="4" t="n"/>
      <c r="CF4" s="4" t="n"/>
      <c r="CG4" s="4" t="n"/>
      <c r="CH4" s="4" t="n"/>
      <c r="CI4" s="40" t="n"/>
      <c r="CJ4" s="4" t="n"/>
      <c r="CK4" s="4" t="n"/>
      <c r="CL4" s="169" t="n"/>
      <c r="CM4" s="4" t="n"/>
      <c r="CN4" s="4" t="n"/>
      <c r="CO4" s="4" t="n"/>
      <c r="CP4" s="4" t="n"/>
      <c r="CQ4" s="4" t="n"/>
      <c r="CR4" s="4" t="n"/>
      <c r="CS4" s="4" t="n"/>
    </row>
    <row r="5" ht="12.75" customHeight="1">
      <c r="A5" s="1" t="n"/>
      <c r="B5" s="213" t="n"/>
      <c r="C5" s="143" t="n"/>
      <c r="D5" s="143" t="n"/>
      <c r="E5" s="143" t="n"/>
      <c r="F5" s="143" t="inlineStr">
        <is>
          <t>V</t>
        </is>
      </c>
      <c r="G5" s="143" t="inlineStr">
        <is>
          <t>kW</t>
        </is>
      </c>
      <c r="H5" s="143" t="inlineStr">
        <is>
          <t>cosθ</t>
        </is>
      </c>
      <c r="I5" s="143" t="inlineStr">
        <is>
          <t>A</t>
        </is>
      </c>
      <c r="J5" s="143" t="inlineStr">
        <is>
          <t>kVAR</t>
        </is>
      </c>
      <c r="K5" s="143" t="inlineStr">
        <is>
          <t>Hz</t>
        </is>
      </c>
      <c r="L5" s="174" t="inlineStr">
        <is>
          <t>전일 지침</t>
        </is>
      </c>
      <c r="M5" s="143" t="inlineStr">
        <is>
          <t>kW</t>
        </is>
      </c>
      <c r="N5" s="143" t="inlineStr">
        <is>
          <t>A</t>
        </is>
      </c>
      <c r="O5" s="174" t="inlineStr">
        <is>
          <t>전일 지침</t>
        </is>
      </c>
      <c r="P5" s="143" t="inlineStr">
        <is>
          <t>kW</t>
        </is>
      </c>
      <c r="Q5" s="143" t="inlineStr">
        <is>
          <t>A</t>
        </is>
      </c>
      <c r="R5" s="174" t="inlineStr">
        <is>
          <t>전일 지침</t>
        </is>
      </c>
      <c r="S5" s="143" t="inlineStr">
        <is>
          <t>kW</t>
        </is>
      </c>
      <c r="T5" s="143" t="inlineStr">
        <is>
          <t>A</t>
        </is>
      </c>
      <c r="U5" s="174" t="inlineStr">
        <is>
          <t>전일 지침</t>
        </is>
      </c>
      <c r="V5" s="4" t="n"/>
      <c r="W5" s="143" t="inlineStr">
        <is>
          <t>kW</t>
        </is>
      </c>
      <c r="X5" s="143" t="inlineStr">
        <is>
          <t>A</t>
        </is>
      </c>
      <c r="Y5" s="174" t="inlineStr">
        <is>
          <t>전일 지침</t>
        </is>
      </c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4" t="n"/>
      <c r="BP5" s="4" t="n"/>
      <c r="BQ5" s="4" t="n"/>
      <c r="BR5" s="4" t="n"/>
      <c r="BS5" s="4" t="n"/>
      <c r="BT5" s="4" t="n"/>
      <c r="BU5" s="4" t="n"/>
      <c r="BV5" s="4" t="n"/>
      <c r="BW5" s="4" t="n"/>
      <c r="BX5" s="4" t="n"/>
      <c r="BY5" s="4" t="n"/>
      <c r="BZ5" s="4" t="n"/>
      <c r="CA5" s="4" t="n"/>
      <c r="CB5" s="4" t="n"/>
      <c r="CC5" s="4" t="n"/>
      <c r="CD5" s="4" t="n"/>
      <c r="CE5" s="4" t="n"/>
      <c r="CF5" s="4" t="n"/>
      <c r="CG5" s="4" t="n"/>
      <c r="CH5" s="4" t="n"/>
      <c r="CI5" s="4" t="n"/>
      <c r="CJ5" s="4" t="n"/>
      <c r="CK5" s="4" t="n"/>
      <c r="CL5" s="4" t="n"/>
      <c r="CM5" s="4" t="n"/>
      <c r="CN5" s="4" t="n"/>
      <c r="CO5" s="4" t="n"/>
      <c r="CP5" s="4" t="n"/>
      <c r="CQ5" s="4" t="n"/>
      <c r="CR5" s="4" t="n"/>
      <c r="CS5" s="4" t="n"/>
    </row>
    <row r="6" ht="12.75" customFormat="1" customHeight="1" s="7">
      <c r="A6" s="172" t="n"/>
      <c r="B6" s="214" t="n"/>
      <c r="C6" s="174" t="n"/>
      <c r="D6" s="174" t="n"/>
      <c r="E6" s="174" t="n"/>
      <c r="F6" s="174" t="inlineStr">
        <is>
          <t>6300~7200</t>
        </is>
      </c>
      <c r="G6" s="174" t="inlineStr">
        <is>
          <t>0~4800</t>
        </is>
      </c>
      <c r="H6" s="174" t="inlineStr">
        <is>
          <t>0.9±0.1</t>
        </is>
      </c>
      <c r="I6" s="174" t="inlineStr">
        <is>
          <t>0~200</t>
        </is>
      </c>
      <c r="J6" s="174" t="inlineStr">
        <is>
          <t>0~4800</t>
        </is>
      </c>
      <c r="K6" s="174" t="inlineStr">
        <is>
          <t>59.5~60.5</t>
        </is>
      </c>
      <c r="L6" s="174" t="n"/>
      <c r="M6" s="174" t="inlineStr">
        <is>
          <t>0~2400</t>
        </is>
      </c>
      <c r="N6" s="174" t="inlineStr">
        <is>
          <t>0~200</t>
        </is>
      </c>
      <c r="O6" s="174" t="n"/>
      <c r="P6" s="174" t="inlineStr">
        <is>
          <t>0~2400</t>
        </is>
      </c>
      <c r="Q6" s="174" t="inlineStr">
        <is>
          <t>0~200</t>
        </is>
      </c>
      <c r="R6" s="174" t="n"/>
      <c r="S6" s="174" t="inlineStr">
        <is>
          <t>0~2400</t>
        </is>
      </c>
      <c r="T6" s="174" t="inlineStr">
        <is>
          <t>0~200</t>
        </is>
      </c>
      <c r="U6" s="174" t="n"/>
      <c r="V6" s="172" t="n"/>
      <c r="W6" s="174" t="inlineStr">
        <is>
          <t>0~2400</t>
        </is>
      </c>
      <c r="X6" s="174" t="inlineStr">
        <is>
          <t>0~200</t>
        </is>
      </c>
      <c r="Y6" s="172" t="n"/>
      <c r="Z6" s="172" t="n"/>
      <c r="AA6" s="172" t="n"/>
      <c r="AB6" s="172" t="n"/>
      <c r="AC6" s="172" t="n"/>
      <c r="AD6" s="172" t="n"/>
      <c r="AE6" s="172" t="n"/>
      <c r="AF6" s="172" t="n"/>
      <c r="AG6" s="172" t="n"/>
      <c r="AH6" s="172" t="n"/>
      <c r="AI6" s="172" t="n"/>
      <c r="AJ6" s="172" t="n"/>
      <c r="AK6" s="172" t="n"/>
      <c r="AL6" s="172" t="n"/>
      <c r="AM6" s="172" t="n"/>
      <c r="AN6" s="172" t="n"/>
      <c r="AO6" s="172" t="n"/>
      <c r="AP6" s="172" t="n"/>
      <c r="AQ6" s="172" t="n"/>
      <c r="AR6" s="172" t="n"/>
      <c r="AS6" s="172" t="n"/>
      <c r="AT6" s="172" t="n"/>
      <c r="AU6" s="172" t="n"/>
      <c r="AV6" s="172" t="n"/>
      <c r="AW6" s="172" t="n"/>
      <c r="AX6" s="172" t="n"/>
      <c r="AY6" s="172" t="n"/>
      <c r="AZ6" s="172" t="n"/>
      <c r="BA6" s="172" t="n"/>
      <c r="BB6" s="172" t="n"/>
      <c r="BC6" s="172" t="n"/>
      <c r="BD6" s="172" t="n"/>
      <c r="BE6" s="172" t="n"/>
      <c r="BF6" s="172" t="n"/>
      <c r="BG6" s="172" t="n"/>
      <c r="BH6" s="172" t="n"/>
      <c r="BI6" s="172" t="n"/>
      <c r="BJ6" s="172" t="n"/>
      <c r="BK6" s="172" t="n"/>
      <c r="BL6" s="172" t="n"/>
      <c r="BM6" s="172" t="n"/>
      <c r="BN6" s="172" t="n"/>
      <c r="BO6" s="172" t="n"/>
      <c r="BP6" s="172" t="n"/>
      <c r="BQ6" s="172" t="n"/>
      <c r="BR6" s="172" t="n"/>
      <c r="BS6" s="172" t="n"/>
      <c r="BT6" s="172" t="n"/>
      <c r="BU6" s="172" t="n"/>
      <c r="BV6" s="172" t="n"/>
      <c r="BW6" s="172" t="n"/>
      <c r="BX6" s="172" t="n"/>
      <c r="BY6" s="172" t="n"/>
      <c r="BZ6" s="172" t="n"/>
      <c r="CA6" s="172" t="n"/>
      <c r="CB6" s="172" t="n"/>
      <c r="CC6" s="172" t="n"/>
      <c r="CD6" s="172" t="n"/>
      <c r="CE6" s="172" t="n"/>
      <c r="CF6" s="172" t="n"/>
      <c r="CG6" s="172" t="n"/>
      <c r="CH6" s="172" t="n"/>
      <c r="CI6" s="172" t="n"/>
      <c r="CJ6" s="172" t="n"/>
      <c r="CK6" s="172" t="n"/>
      <c r="CL6" s="172" t="n"/>
      <c r="CM6" s="172" t="n"/>
      <c r="CN6" s="172" t="n"/>
      <c r="CO6" s="172" t="n"/>
      <c r="CP6" s="172" t="n"/>
      <c r="CQ6" s="172" t="n"/>
      <c r="CR6" s="172" t="n"/>
      <c r="CS6" s="172" t="n"/>
    </row>
    <row r="7" ht="19.5" customHeight="1">
      <c r="A7" s="2" t="n"/>
      <c r="B7" s="152" t="n">
        <v>0.25</v>
      </c>
      <c r="C7" s="143" t="n"/>
      <c r="D7" s="143" t="n"/>
      <c r="E7" s="143" t="n"/>
      <c r="F7" s="143" t="n"/>
      <c r="G7" s="143" t="n"/>
      <c r="H7" s="143" t="n"/>
      <c r="I7" s="143" t="n"/>
      <c r="J7" s="143" t="n"/>
      <c r="K7" s="143" t="n"/>
      <c r="L7" s="143" t="n"/>
      <c r="M7" s="143" t="n"/>
      <c r="N7" s="143" t="n"/>
      <c r="O7" s="143" t="n"/>
      <c r="P7" s="143" t="n"/>
      <c r="Q7" s="143" t="n"/>
      <c r="R7" s="143" t="n"/>
      <c r="S7" s="143" t="n"/>
      <c r="T7" s="143" t="n"/>
      <c r="U7" s="143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</row>
    <row r="8" ht="19.5" customHeight="1">
      <c r="A8" s="2" t="n"/>
      <c r="B8" s="152" t="n">
        <v>0.4166666666666667</v>
      </c>
      <c r="C8" s="143" t="n"/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3" t="n"/>
      <c r="P8" s="143" t="n"/>
      <c r="Q8" s="143" t="n"/>
      <c r="R8" s="143" t="n"/>
      <c r="S8" s="143" t="n"/>
      <c r="T8" s="143" t="n"/>
      <c r="U8" s="143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4" t="n"/>
      <c r="BP8" s="4" t="n"/>
      <c r="BQ8" s="4" t="n"/>
      <c r="BR8" s="4" t="n"/>
      <c r="BS8" s="4" t="n"/>
      <c r="BT8" s="4" t="n"/>
      <c r="BU8" s="4" t="n"/>
      <c r="BV8" s="4" t="n"/>
      <c r="BW8" s="4" t="n"/>
      <c r="BX8" s="4" t="n"/>
      <c r="BY8" s="4" t="n"/>
      <c r="BZ8" s="4" t="n"/>
      <c r="CA8" s="4" t="n"/>
      <c r="CB8" s="4" t="n"/>
      <c r="CC8" s="4" t="n"/>
      <c r="CD8" s="4" t="n"/>
      <c r="CE8" s="4" t="n"/>
      <c r="CF8" s="4" t="n"/>
      <c r="CG8" s="4" t="n"/>
      <c r="CH8" s="4" t="n"/>
      <c r="CI8" s="4" t="n"/>
      <c r="CJ8" s="4" t="n"/>
      <c r="CK8" s="4" t="n"/>
      <c r="CL8" s="4" t="n"/>
      <c r="CM8" s="4" t="n"/>
      <c r="CN8" s="4" t="n"/>
      <c r="CO8" s="4" t="n"/>
      <c r="CP8" s="4" t="n"/>
      <c r="CQ8" s="4" t="n"/>
      <c r="CR8" s="4" t="n"/>
      <c r="CS8" s="4" t="n"/>
    </row>
    <row r="9" ht="19.5" customHeight="1">
      <c r="A9" s="2" t="n"/>
      <c r="B9" s="152" t="n">
        <v>0.5833333333333334</v>
      </c>
      <c r="C9" s="143" t="n"/>
      <c r="D9" s="143" t="n"/>
      <c r="E9" s="143" t="n"/>
      <c r="F9" s="143" t="n"/>
      <c r="G9" s="143" t="n"/>
      <c r="H9" s="143" t="n"/>
      <c r="I9" s="143" t="n"/>
      <c r="J9" s="143" t="n"/>
      <c r="K9" s="143" t="n"/>
      <c r="L9" s="143" t="n"/>
      <c r="M9" s="143" t="n"/>
      <c r="N9" s="143" t="n"/>
      <c r="O9" s="143" t="n"/>
      <c r="P9" s="143" t="n"/>
      <c r="Q9" s="143" t="n"/>
      <c r="R9" s="143" t="n"/>
      <c r="S9" s="143" t="n"/>
      <c r="T9" s="143" t="n"/>
      <c r="U9" s="143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  <c r="BJ9" s="4" t="n"/>
      <c r="BK9" s="4" t="n"/>
      <c r="BL9" s="4" t="n"/>
      <c r="BM9" s="4" t="n"/>
      <c r="BN9" s="4" t="n"/>
      <c r="BO9" s="4" t="n"/>
      <c r="BP9" s="4" t="n"/>
      <c r="BQ9" s="4" t="n"/>
      <c r="BR9" s="4" t="n"/>
      <c r="BS9" s="4" t="n"/>
      <c r="BT9" s="4" t="n"/>
      <c r="BU9" s="4" t="n"/>
      <c r="BV9" s="4" t="n"/>
      <c r="BW9" s="4" t="n"/>
      <c r="BX9" s="4" t="n"/>
      <c r="BY9" s="4" t="n"/>
      <c r="BZ9" s="4" t="n"/>
      <c r="CA9" s="4" t="n"/>
      <c r="CB9" s="4" t="n"/>
      <c r="CC9" s="4" t="n"/>
      <c r="CD9" s="4" t="n"/>
      <c r="CE9" s="4" t="n"/>
      <c r="CF9" s="4" t="n"/>
      <c r="CG9" s="4" t="n"/>
      <c r="CH9" s="4" t="n"/>
      <c r="CI9" s="4" t="n"/>
      <c r="CJ9" s="4" t="n"/>
      <c r="CK9" s="4" t="n"/>
      <c r="CL9" s="4" t="n"/>
      <c r="CM9" s="4" t="n"/>
      <c r="CN9" s="4" t="n"/>
      <c r="CO9" s="4" t="n"/>
      <c r="CP9" s="4" t="n"/>
      <c r="CQ9" s="4" t="n"/>
      <c r="CR9" s="4" t="n"/>
      <c r="CS9" s="4" t="n"/>
    </row>
    <row r="10" ht="19.5" customHeight="1">
      <c r="A10" s="2" t="n"/>
      <c r="B10" s="152" t="n">
        <v>0.7083333333333334</v>
      </c>
      <c r="C10" s="143" t="n"/>
      <c r="D10" s="143" t="n"/>
      <c r="E10" s="143" t="n"/>
      <c r="F10" s="143" t="n"/>
      <c r="G10" s="143" t="n"/>
      <c r="H10" s="143" t="n"/>
      <c r="I10" s="143" t="n"/>
      <c r="J10" s="143" t="n"/>
      <c r="K10" s="143" t="n"/>
      <c r="L10" s="143" t="n"/>
      <c r="M10" s="143" t="n"/>
      <c r="N10" s="143" t="n"/>
      <c r="O10" s="143" t="n"/>
      <c r="P10" s="143" t="n"/>
      <c r="Q10" s="143" t="n"/>
      <c r="R10" s="143" t="n"/>
      <c r="S10" s="143" t="n"/>
      <c r="T10" s="143" t="n"/>
      <c r="U10" s="143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</row>
    <row r="11" ht="19.5" customHeight="1">
      <c r="A11" s="2" t="n"/>
      <c r="B11" s="152" t="n">
        <v>0.8333333333333334</v>
      </c>
      <c r="C11" s="143" t="n"/>
      <c r="D11" s="143" t="n"/>
      <c r="E11" s="143" t="n"/>
      <c r="F11" s="143" t="n"/>
      <c r="G11" s="143" t="n"/>
      <c r="H11" s="143" t="n"/>
      <c r="I11" s="143" t="n"/>
      <c r="J11" s="143" t="n"/>
      <c r="K11" s="143" t="n"/>
      <c r="L11" s="143" t="n"/>
      <c r="M11" s="143" t="n"/>
      <c r="N11" s="143" t="n"/>
      <c r="O11" s="143" t="n"/>
      <c r="P11" s="143" t="n"/>
      <c r="Q11" s="143" t="n"/>
      <c r="R11" s="143" t="n"/>
      <c r="S11" s="143" t="n"/>
      <c r="T11" s="143" t="n"/>
      <c r="U11" s="143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</row>
    <row r="12" ht="19.5" customHeight="1">
      <c r="A12" s="2" t="n"/>
      <c r="B12" s="152" t="n">
        <v>0.9166666666666666</v>
      </c>
      <c r="C12" s="143" t="n"/>
      <c r="D12" s="143" t="n"/>
      <c r="E12" s="143" t="n"/>
      <c r="F12" s="143" t="n"/>
      <c r="G12" s="143" t="n"/>
      <c r="H12" s="143" t="n"/>
      <c r="I12" s="143" t="n"/>
      <c r="J12" s="143" t="n"/>
      <c r="K12" s="143" t="n"/>
      <c r="L12" s="143" t="n"/>
      <c r="M12" s="143" t="n"/>
      <c r="N12" s="143" t="n"/>
      <c r="O12" s="143" t="n"/>
      <c r="P12" s="143" t="n"/>
      <c r="Q12" s="143" t="n"/>
      <c r="R12" s="143" t="n"/>
      <c r="S12" s="143" t="n"/>
      <c r="T12" s="143" t="n"/>
      <c r="U12" s="143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</row>
    <row r="13" ht="15.75" customHeight="1">
      <c r="A13" s="3" t="n"/>
      <c r="B13" s="171" t="n"/>
      <c r="C13" s="171" t="n"/>
      <c r="D13" s="44">
        <f>MAX(D7:D12)</f>
        <v/>
      </c>
      <c r="E13" s="171" t="n"/>
      <c r="F13" s="150" t="n"/>
      <c r="G13" s="171" t="n"/>
      <c r="H13" s="171" t="n"/>
      <c r="I13" s="44" t="n"/>
      <c r="J13" s="171" t="n"/>
      <c r="K13" s="171" t="n"/>
      <c r="L13" s="171" t="n"/>
      <c r="M13" s="171" t="n"/>
      <c r="N13" s="44" t="n"/>
      <c r="O13" s="171" t="n"/>
      <c r="P13" s="171" t="n"/>
      <c r="Q13" s="44" t="n"/>
      <c r="R13" s="171" t="n"/>
      <c r="S13" s="171" t="n"/>
      <c r="T13" s="44" t="n"/>
      <c r="U13" s="171" t="n"/>
      <c r="V13" s="171" t="n"/>
      <c r="W13" s="171" t="n"/>
      <c r="X13" s="171" t="n"/>
      <c r="Y13" s="44" t="n"/>
      <c r="Z13" s="171" t="n"/>
      <c r="AA13" s="171" t="n"/>
      <c r="AB13" s="171" t="n"/>
      <c r="AC13" s="171" t="n"/>
      <c r="AD13" s="44" t="n"/>
      <c r="AE13" s="171" t="n"/>
      <c r="AF13" s="171" t="n"/>
      <c r="AG13" s="44" t="n"/>
      <c r="AH13" s="171" t="n"/>
      <c r="AI13" s="171" t="n"/>
      <c r="AJ13" s="44" t="n"/>
      <c r="AK13" s="171" t="n"/>
      <c r="AL13" s="171" t="n"/>
      <c r="AM13" s="44" t="n"/>
      <c r="AN13" s="171" t="n"/>
      <c r="AO13" s="171" t="n"/>
      <c r="AP13" s="44" t="n"/>
      <c r="AQ13" s="171" t="n"/>
      <c r="AR13" s="171" t="n"/>
      <c r="AS13" s="44" t="n"/>
      <c r="AT13" s="171" t="n"/>
      <c r="AU13" s="171" t="n"/>
      <c r="AV13" s="44" t="n"/>
      <c r="AW13" s="171" t="n"/>
      <c r="AX13" s="171" t="n"/>
      <c r="AY13" s="44" t="n"/>
      <c r="AZ13" s="171" t="n"/>
      <c r="BA13" s="171" t="n"/>
      <c r="BB13" s="44" t="n"/>
      <c r="BC13" s="171" t="n"/>
      <c r="BD13" s="171" t="n"/>
      <c r="BE13" s="171" t="n"/>
      <c r="BF13" s="44" t="n"/>
      <c r="BG13" s="171" t="n"/>
      <c r="BH13" s="171" t="n"/>
      <c r="BI13" s="171" t="n"/>
      <c r="BJ13" s="171" t="n"/>
      <c r="BK13" s="44" t="n"/>
      <c r="BL13" s="171" t="n"/>
      <c r="BM13" s="171" t="n"/>
      <c r="BN13" s="44" t="n"/>
      <c r="BO13" s="171" t="n"/>
      <c r="BP13" s="171" t="n"/>
      <c r="BQ13" s="44" t="n"/>
      <c r="BR13" s="171" t="n"/>
      <c r="BS13" s="171" t="n"/>
      <c r="BT13" s="44" t="n"/>
      <c r="BU13" s="171" t="n"/>
      <c r="BV13" s="171" t="n"/>
      <c r="BW13" s="44" t="n"/>
      <c r="BX13" s="171" t="n"/>
      <c r="BY13" s="171" t="n"/>
      <c r="BZ13" s="44" t="n"/>
      <c r="CA13" s="171" t="n"/>
      <c r="CB13" s="3" t="n"/>
      <c r="CD13" s="44" t="n"/>
      <c r="CF13" s="44" t="n"/>
      <c r="CH13" s="44" t="n"/>
      <c r="CK13" s="44" t="n"/>
      <c r="CN13" s="44" t="n"/>
      <c r="CP13" s="44" t="n"/>
      <c r="CR13" s="44" t="n"/>
      <c r="CS13" s="44" t="n"/>
    </row>
    <row r="14" ht="15.75" customHeight="1">
      <c r="A14" s="3" t="n"/>
      <c r="B14" s="171" t="n"/>
      <c r="C14" s="171" t="n"/>
      <c r="D14" s="44" t="n"/>
      <c r="E14" s="171" t="n"/>
      <c r="F14" s="150" t="n"/>
      <c r="G14" s="171" t="n"/>
      <c r="H14" s="171" t="n"/>
      <c r="I14" s="44" t="n"/>
      <c r="J14" s="171" t="n"/>
      <c r="K14" s="171" t="n"/>
      <c r="L14" s="171" t="n"/>
      <c r="M14" s="171" t="n"/>
      <c r="N14" s="44" t="n"/>
      <c r="O14" s="171" t="n"/>
      <c r="P14" s="171" t="n"/>
      <c r="Q14" s="44" t="n"/>
      <c r="R14" s="171" t="n"/>
      <c r="S14" s="171" t="n"/>
      <c r="T14" s="44" t="n"/>
      <c r="U14" s="171" t="n"/>
      <c r="V14" s="171" t="n"/>
      <c r="W14" s="171" t="n"/>
      <c r="X14" s="171" t="n"/>
      <c r="Y14" s="44" t="n"/>
      <c r="Z14" s="171" t="n"/>
      <c r="AA14" s="171" t="n"/>
      <c r="AB14" s="171" t="n"/>
      <c r="AC14" s="171" t="n"/>
      <c r="AD14" s="44" t="n"/>
      <c r="AE14" s="171" t="n"/>
      <c r="AF14" s="171" t="n"/>
      <c r="AG14" s="44" t="n"/>
      <c r="AH14" s="171" t="n"/>
      <c r="AI14" s="171" t="n"/>
      <c r="AJ14" s="44" t="n"/>
      <c r="AK14" s="171" t="n"/>
      <c r="AL14" s="171" t="n"/>
      <c r="AM14" s="44" t="n"/>
      <c r="AN14" s="171" t="n"/>
      <c r="AO14" s="171" t="n"/>
      <c r="AP14" s="44" t="n"/>
      <c r="AQ14" s="171" t="n"/>
      <c r="AR14" s="171" t="n"/>
      <c r="AS14" s="44" t="n"/>
      <c r="AT14" s="171" t="n"/>
      <c r="AU14" s="171" t="n"/>
      <c r="AV14" s="44" t="n"/>
      <c r="AW14" s="171" t="n"/>
      <c r="AX14" s="171" t="n"/>
      <c r="AY14" s="44" t="n"/>
      <c r="AZ14" s="171" t="n"/>
      <c r="BA14" s="171" t="n"/>
      <c r="BB14" s="44" t="n"/>
      <c r="BC14" s="171" t="n"/>
      <c r="BD14" s="171" t="n"/>
      <c r="BE14" s="171" t="n"/>
      <c r="BF14" s="44" t="n"/>
      <c r="BG14" s="171" t="n"/>
      <c r="BH14" s="171" t="n"/>
      <c r="BI14" s="171" t="n"/>
      <c r="BJ14" s="171" t="n"/>
      <c r="BK14" s="44" t="n"/>
      <c r="BL14" s="171" t="n"/>
      <c r="BM14" s="171" t="n"/>
      <c r="BN14" s="44" t="n"/>
      <c r="BO14" s="171" t="n"/>
      <c r="BP14" s="171" t="n"/>
      <c r="BQ14" s="44" t="n"/>
      <c r="BR14" s="171" t="n"/>
      <c r="BS14" s="171" t="n"/>
      <c r="BT14" s="44" t="n"/>
      <c r="BU14" s="171" t="n"/>
      <c r="BV14" s="171" t="n"/>
      <c r="BW14" s="44" t="n"/>
      <c r="BX14" s="171" t="n"/>
      <c r="BY14" s="171" t="n"/>
      <c r="BZ14" s="44" t="n"/>
      <c r="CA14" s="171" t="n"/>
      <c r="CB14" s="3" t="n"/>
      <c r="CD14" s="44" t="n"/>
      <c r="CF14" s="44" t="n"/>
      <c r="CH14" s="44" t="n"/>
      <c r="CK14" s="44" t="n"/>
      <c r="CN14" s="44" t="n"/>
      <c r="CP14" s="44" t="n"/>
      <c r="CR14" s="44" t="n"/>
      <c r="CS14" s="44" t="n"/>
    </row>
    <row r="15" ht="15.75" customHeight="1">
      <c r="A15" s="3" t="n"/>
      <c r="B15" s="183" t="n"/>
      <c r="C15" s="171" t="n"/>
      <c r="D15" s="44" t="n"/>
      <c r="E15" s="171" t="n"/>
      <c r="F15" s="177" t="inlineStr">
        <is>
          <t>주택변전소 운전일지[Ⅱ]</t>
        </is>
      </c>
      <c r="G15" s="215" t="n"/>
      <c r="H15" s="215" t="n"/>
      <c r="I15" s="215" t="n"/>
      <c r="J15" s="215" t="n"/>
      <c r="K15" s="215" t="n"/>
      <c r="L15" s="215" t="n"/>
      <c r="M15" s="215" t="n"/>
      <c r="N15" s="215" t="n"/>
      <c r="O15" s="215" t="n"/>
      <c r="P15" s="215" t="n"/>
      <c r="Q15" s="215" t="n"/>
      <c r="R15" s="215" t="n"/>
      <c r="S15" s="215" t="n"/>
      <c r="T15" s="215" t="n"/>
      <c r="U15" s="215" t="n"/>
      <c r="V15" s="215" t="n"/>
      <c r="W15" s="215" t="n"/>
      <c r="X15" s="215" t="n"/>
      <c r="Y15" s="215" t="n"/>
      <c r="Z15" s="215" t="n"/>
      <c r="AA15" s="215" t="n"/>
      <c r="AB15" s="215" t="n"/>
      <c r="AC15" s="215" t="n"/>
      <c r="AD15" s="215" t="n"/>
      <c r="AE15" s="215" t="n"/>
      <c r="AF15" s="215" t="n"/>
      <c r="AG15" s="215" t="n"/>
      <c r="AH15" s="215" t="n"/>
      <c r="AI15" s="215" t="n"/>
      <c r="AJ15" s="215" t="n"/>
      <c r="AK15" s="171" t="n"/>
      <c r="AL15" s="171" t="n"/>
      <c r="AM15" s="44" t="n"/>
      <c r="AN15" s="171" t="n"/>
      <c r="AO15" s="171" t="n"/>
      <c r="AP15" s="44" t="n"/>
      <c r="AQ15" s="171" t="n"/>
      <c r="AR15" s="171" t="n"/>
      <c r="AS15" s="44" t="n"/>
      <c r="AT15" s="171" t="n"/>
      <c r="AU15" s="171" t="n"/>
      <c r="AV15" s="44" t="n"/>
      <c r="AW15" s="171" t="n"/>
      <c r="AX15" s="171" t="n"/>
      <c r="AY15" s="44" t="n"/>
      <c r="AZ15" s="171" t="n"/>
      <c r="BA15" s="171" t="n"/>
      <c r="BB15" s="44" t="n"/>
      <c r="BC15" s="171" t="n"/>
      <c r="BD15" s="171" t="n"/>
      <c r="BE15" s="171" t="n"/>
      <c r="BF15" s="44" t="n"/>
      <c r="BG15" s="171" t="n"/>
      <c r="BH15" s="171" t="n"/>
      <c r="BI15" s="171" t="n"/>
      <c r="BJ15" s="171" t="n"/>
      <c r="BK15" s="44" t="n"/>
      <c r="BL15" s="171" t="n"/>
      <c r="BM15" s="171" t="n"/>
      <c r="BN15" s="44" t="n"/>
      <c r="BO15" s="171" t="n"/>
      <c r="BP15" s="171" t="n"/>
      <c r="BQ15" s="44" t="n"/>
      <c r="BR15" s="171" t="n"/>
      <c r="BS15" s="171" t="n"/>
      <c r="BT15" s="44" t="n"/>
      <c r="BU15" s="171" t="n"/>
      <c r="BV15" s="171" t="n"/>
      <c r="BW15" s="44" t="n"/>
      <c r="BX15" s="171" t="n"/>
      <c r="BY15" s="171" t="n"/>
      <c r="BZ15" s="44" t="n"/>
      <c r="CA15" s="171" t="n"/>
      <c r="CB15" s="3" t="n"/>
      <c r="CD15" s="44" t="n"/>
      <c r="CF15" s="44" t="n"/>
      <c r="CH15" s="44" t="n"/>
      <c r="CK15" s="44" t="n"/>
      <c r="CN15" s="44" t="n"/>
      <c r="CP15" s="44" t="n"/>
      <c r="CR15" s="44" t="n"/>
      <c r="CS15" s="44" t="n"/>
    </row>
    <row r="16" ht="15.75" customHeight="1">
      <c r="A16" s="3" t="n"/>
      <c r="B16" s="182" t="inlineStr">
        <is>
          <t>구분</t>
        </is>
      </c>
      <c r="C16" s="171" t="n"/>
      <c r="D16" s="44" t="n"/>
      <c r="E16" s="171" t="n"/>
      <c r="F16" s="174" t="inlineStr">
        <is>
          <t>No.2 6.6KV INCOMMING</t>
        </is>
      </c>
      <c r="G16" s="211" t="n"/>
      <c r="H16" s="211" t="n"/>
      <c r="I16" s="211" t="n"/>
      <c r="J16" s="211" t="n"/>
      <c r="K16" s="211" t="n"/>
      <c r="L16" s="212" t="n"/>
      <c r="M16" s="174" t="inlineStr">
        <is>
          <t>51,52 S/S</t>
        </is>
      </c>
      <c r="N16" s="211" t="n"/>
      <c r="O16" s="212" t="n"/>
      <c r="P16" s="174" t="inlineStr">
        <is>
          <t>7,8 S/S</t>
        </is>
      </c>
      <c r="Q16" s="211" t="n"/>
      <c r="R16" s="212" t="n"/>
      <c r="S16" s="174" t="inlineStr">
        <is>
          <t xml:space="preserve">53 S/S </t>
        </is>
      </c>
      <c r="T16" s="211" t="n"/>
      <c r="U16" s="212" t="n"/>
      <c r="V16" s="174" t="inlineStr">
        <is>
          <t xml:space="preserve">웰빙마트 </t>
        </is>
      </c>
      <c r="W16" s="211" t="n"/>
      <c r="X16" s="212" t="n"/>
      <c r="Y16" s="174" t="inlineStr">
        <is>
          <t>주민자치센타</t>
        </is>
      </c>
      <c r="Z16" s="211" t="n"/>
      <c r="AA16" s="212" t="n"/>
      <c r="AB16" s="174" t="inlineStr">
        <is>
          <t>57,60 S/S</t>
        </is>
      </c>
      <c r="AC16" s="211" t="n"/>
      <c r="AD16" s="212" t="n"/>
      <c r="AE16" s="174" t="inlineStr">
        <is>
          <t xml:space="preserve">휴먼센터 </t>
        </is>
      </c>
      <c r="AF16" s="211" t="n"/>
      <c r="AG16" s="212" t="n"/>
      <c r="AH16" s="174" t="inlineStr">
        <is>
          <t xml:space="preserve">제철학원 </t>
        </is>
      </c>
      <c r="AI16" s="211" t="n"/>
      <c r="AJ16" s="212" t="n"/>
      <c r="AK16" s="171" t="n"/>
      <c r="AL16" s="171" t="n"/>
      <c r="AM16" s="44" t="n"/>
      <c r="AN16" s="171" t="n"/>
      <c r="AO16" s="171" t="n"/>
      <c r="AP16" s="44" t="n"/>
      <c r="AQ16" s="171" t="n"/>
      <c r="AR16" s="171" t="n"/>
      <c r="AS16" s="44" t="n"/>
      <c r="AT16" s="171" t="n"/>
      <c r="AU16" s="171" t="n"/>
      <c r="AV16" s="44" t="n"/>
      <c r="AW16" s="171" t="n"/>
      <c r="AX16" s="171" t="n"/>
      <c r="AY16" s="44" t="n"/>
      <c r="AZ16" s="171" t="n"/>
      <c r="BA16" s="171" t="n"/>
      <c r="BB16" s="44" t="n"/>
      <c r="BC16" s="171" t="n"/>
      <c r="BD16" s="171" t="n"/>
      <c r="BE16" s="171" t="n"/>
      <c r="BF16" s="44" t="n"/>
      <c r="BG16" s="171" t="n"/>
      <c r="BH16" s="171" t="n"/>
      <c r="BI16" s="171" t="n"/>
      <c r="BJ16" s="171" t="n"/>
      <c r="BK16" s="44" t="n"/>
      <c r="BL16" s="171" t="n"/>
      <c r="BM16" s="171" t="n"/>
      <c r="BN16" s="44" t="n"/>
      <c r="BO16" s="171" t="n"/>
      <c r="BP16" s="171" t="n"/>
      <c r="BQ16" s="44" t="n"/>
      <c r="BR16" s="171" t="n"/>
      <c r="BS16" s="171" t="n"/>
      <c r="BT16" s="44" t="n"/>
      <c r="BU16" s="171" t="n"/>
      <c r="BV16" s="171" t="n"/>
      <c r="BW16" s="44" t="n"/>
      <c r="BX16" s="171" t="n"/>
      <c r="BY16" s="171" t="n"/>
      <c r="BZ16" s="44" t="n"/>
      <c r="CA16" s="171" t="n"/>
      <c r="CB16" s="3" t="n"/>
      <c r="CD16" s="44" t="n"/>
      <c r="CF16" s="44" t="n"/>
      <c r="CH16" s="44" t="n"/>
      <c r="CK16" s="44" t="n"/>
      <c r="CN16" s="44" t="n"/>
      <c r="CP16" s="44" t="n"/>
      <c r="CR16" s="44" t="n"/>
      <c r="CS16" s="44" t="n"/>
    </row>
    <row r="17" ht="15.75" customHeight="1">
      <c r="A17" s="3" t="n"/>
      <c r="B17" s="213" t="n"/>
      <c r="C17" s="171" t="n"/>
      <c r="D17" s="44" t="n"/>
      <c r="E17" s="171" t="n"/>
      <c r="F17" s="137" t="inlineStr">
        <is>
          <t>전압</t>
        </is>
      </c>
      <c r="G17" s="138" t="inlineStr">
        <is>
          <t>유효</t>
        </is>
      </c>
      <c r="H17" s="138" t="inlineStr">
        <is>
          <t>역율</t>
        </is>
      </c>
      <c r="I17" s="138" t="inlineStr">
        <is>
          <t>전류</t>
        </is>
      </c>
      <c r="J17" s="138" t="inlineStr">
        <is>
          <t>무효</t>
        </is>
      </c>
      <c r="K17" s="138" t="inlineStr">
        <is>
          <t>주파수</t>
        </is>
      </c>
      <c r="L17" s="139" t="inlineStr">
        <is>
          <t>적산량×4800</t>
        </is>
      </c>
      <c r="M17" s="138" t="inlineStr">
        <is>
          <t>전력</t>
        </is>
      </c>
      <c r="N17" s="138" t="inlineStr">
        <is>
          <t>전류</t>
        </is>
      </c>
      <c r="O17" s="139" t="inlineStr">
        <is>
          <t>적산량×2400</t>
        </is>
      </c>
      <c r="P17" s="138" t="inlineStr">
        <is>
          <t>전력</t>
        </is>
      </c>
      <c r="Q17" s="138" t="inlineStr">
        <is>
          <t>전류</t>
        </is>
      </c>
      <c r="R17" s="139" t="inlineStr">
        <is>
          <t>적산량×1200</t>
        </is>
      </c>
      <c r="S17" s="138" t="inlineStr">
        <is>
          <t>전력</t>
        </is>
      </c>
      <c r="T17" s="138" t="inlineStr">
        <is>
          <t>전류</t>
        </is>
      </c>
      <c r="U17" s="139" t="inlineStr">
        <is>
          <t>적산량×2400</t>
        </is>
      </c>
      <c r="V17" s="138" t="inlineStr">
        <is>
          <t>전력</t>
        </is>
      </c>
      <c r="W17" s="138" t="inlineStr">
        <is>
          <t>전류</t>
        </is>
      </c>
      <c r="X17" s="139" t="inlineStr">
        <is>
          <t>적산량×1200</t>
        </is>
      </c>
      <c r="Y17" s="138" t="inlineStr">
        <is>
          <t>전력</t>
        </is>
      </c>
      <c r="Z17" s="138" t="inlineStr">
        <is>
          <t>전류</t>
        </is>
      </c>
      <c r="AA17" s="139" t="inlineStr">
        <is>
          <t>적산량×2400</t>
        </is>
      </c>
      <c r="AB17" s="138" t="inlineStr">
        <is>
          <t>전력</t>
        </is>
      </c>
      <c r="AC17" s="138" t="inlineStr">
        <is>
          <t>전류</t>
        </is>
      </c>
      <c r="AD17" s="139" t="inlineStr">
        <is>
          <t>적산량×1200</t>
        </is>
      </c>
      <c r="AE17" s="138" t="inlineStr">
        <is>
          <t>전력</t>
        </is>
      </c>
      <c r="AF17" s="138" t="inlineStr">
        <is>
          <t>전류</t>
        </is>
      </c>
      <c r="AG17" s="139" t="inlineStr">
        <is>
          <t>적산량×1200</t>
        </is>
      </c>
      <c r="AH17" s="138" t="inlineStr">
        <is>
          <t>전력</t>
        </is>
      </c>
      <c r="AI17" s="138" t="inlineStr">
        <is>
          <t>전류</t>
        </is>
      </c>
      <c r="AJ17" s="139" t="inlineStr">
        <is>
          <t>적산량×1200</t>
        </is>
      </c>
      <c r="AK17" s="171" t="n"/>
      <c r="AL17" s="171" t="n"/>
      <c r="AM17" s="44" t="n"/>
      <c r="AN17" s="171" t="n"/>
      <c r="AO17" s="171" t="n"/>
      <c r="AP17" s="44" t="n"/>
      <c r="AQ17" s="171" t="n"/>
      <c r="AR17" s="171" t="n"/>
      <c r="AS17" s="44" t="n"/>
      <c r="AT17" s="171" t="n"/>
      <c r="AU17" s="171" t="n"/>
      <c r="AV17" s="44" t="n"/>
      <c r="AW17" s="171" t="n"/>
      <c r="AX17" s="171" t="n"/>
      <c r="AY17" s="44" t="n"/>
      <c r="AZ17" s="171" t="n"/>
      <c r="BA17" s="171" t="n"/>
      <c r="BB17" s="44" t="n"/>
      <c r="BC17" s="171" t="n"/>
      <c r="BD17" s="171" t="n"/>
      <c r="BE17" s="171" t="n"/>
      <c r="BF17" s="44" t="n"/>
      <c r="BG17" s="171" t="n"/>
      <c r="BH17" s="171" t="n"/>
      <c r="BI17" s="171" t="n"/>
      <c r="BJ17" s="171" t="n"/>
      <c r="BK17" s="44" t="n"/>
      <c r="BL17" s="171" t="n"/>
      <c r="BM17" s="171" t="n"/>
      <c r="BN17" s="44" t="n"/>
      <c r="BO17" s="171" t="n"/>
      <c r="BP17" s="171" t="n"/>
      <c r="BQ17" s="44" t="n"/>
      <c r="BR17" s="171" t="n"/>
      <c r="BS17" s="171" t="n"/>
      <c r="BT17" s="44" t="n"/>
      <c r="BU17" s="171" t="n"/>
      <c r="BV17" s="171" t="n"/>
      <c r="BW17" s="44" t="n"/>
      <c r="BX17" s="171" t="n"/>
      <c r="BY17" s="171" t="n"/>
      <c r="BZ17" s="44" t="n"/>
      <c r="CA17" s="171" t="n"/>
      <c r="CB17" s="3" t="n"/>
      <c r="CD17" s="44" t="n"/>
      <c r="CF17" s="44" t="n"/>
      <c r="CH17" s="44" t="n"/>
      <c r="CK17" s="44" t="n"/>
      <c r="CN17" s="44" t="n"/>
      <c r="CP17" s="44" t="n"/>
      <c r="CR17" s="44" t="n"/>
      <c r="CS17" s="44" t="n"/>
    </row>
    <row r="18" ht="15.75" customHeight="1">
      <c r="A18" s="3" t="n"/>
      <c r="B18" s="213" t="n"/>
      <c r="C18" s="171" t="n"/>
      <c r="D18" s="44" t="n"/>
      <c r="E18" s="171" t="n"/>
      <c r="F18" s="137" t="inlineStr">
        <is>
          <t>V</t>
        </is>
      </c>
      <c r="G18" s="136" t="inlineStr">
        <is>
          <t>kW</t>
        </is>
      </c>
      <c r="H18" s="136" t="inlineStr">
        <is>
          <t>cosθ</t>
        </is>
      </c>
      <c r="I18" s="136" t="inlineStr">
        <is>
          <t>A</t>
        </is>
      </c>
      <c r="J18" s="136" t="inlineStr">
        <is>
          <t>kVAR</t>
        </is>
      </c>
      <c r="K18" s="136" t="inlineStr">
        <is>
          <t>Hz</t>
        </is>
      </c>
      <c r="L18" s="136" t="inlineStr">
        <is>
          <t>전일 지침</t>
        </is>
      </c>
      <c r="M18" s="136" t="inlineStr">
        <is>
          <t>kW</t>
        </is>
      </c>
      <c r="N18" s="136" t="inlineStr">
        <is>
          <t>A</t>
        </is>
      </c>
      <c r="O18" s="136" t="inlineStr">
        <is>
          <t>전일 지침</t>
        </is>
      </c>
      <c r="P18" s="136" t="inlineStr">
        <is>
          <t>kW</t>
        </is>
      </c>
      <c r="Q18" s="136" t="inlineStr">
        <is>
          <t>A</t>
        </is>
      </c>
      <c r="R18" s="136" t="inlineStr">
        <is>
          <t>전일 지침</t>
        </is>
      </c>
      <c r="S18" s="136" t="inlineStr">
        <is>
          <t>kW</t>
        </is>
      </c>
      <c r="T18" s="136" t="inlineStr">
        <is>
          <t>A</t>
        </is>
      </c>
      <c r="U18" s="136" t="inlineStr">
        <is>
          <t>전일 지침</t>
        </is>
      </c>
      <c r="V18" s="136" t="inlineStr">
        <is>
          <t>kW</t>
        </is>
      </c>
      <c r="W18" s="136" t="inlineStr">
        <is>
          <t>A</t>
        </is>
      </c>
      <c r="X18" s="136" t="inlineStr">
        <is>
          <t>전일 지침</t>
        </is>
      </c>
      <c r="Y18" s="136" t="inlineStr">
        <is>
          <t>kW</t>
        </is>
      </c>
      <c r="Z18" s="136" t="inlineStr">
        <is>
          <t>A</t>
        </is>
      </c>
      <c r="AA18" s="136" t="inlineStr">
        <is>
          <t>전일 지침</t>
        </is>
      </c>
      <c r="AB18" s="136" t="inlineStr">
        <is>
          <t>kW</t>
        </is>
      </c>
      <c r="AC18" s="136" t="inlineStr">
        <is>
          <t>A</t>
        </is>
      </c>
      <c r="AD18" s="136" t="inlineStr">
        <is>
          <t>전일 지침</t>
        </is>
      </c>
      <c r="AE18" s="136" t="inlineStr">
        <is>
          <t>kW</t>
        </is>
      </c>
      <c r="AF18" s="136" t="inlineStr">
        <is>
          <t>A</t>
        </is>
      </c>
      <c r="AG18" s="136" t="inlineStr">
        <is>
          <t>전일 지침</t>
        </is>
      </c>
      <c r="AH18" s="136" t="inlineStr">
        <is>
          <t>kW</t>
        </is>
      </c>
      <c r="AI18" s="136" t="inlineStr">
        <is>
          <t>A</t>
        </is>
      </c>
      <c r="AJ18" s="136" t="inlineStr">
        <is>
          <t>전일 지침</t>
        </is>
      </c>
      <c r="AK18" s="171" t="n"/>
      <c r="AL18" s="171" t="n"/>
      <c r="AM18" s="44" t="n"/>
      <c r="AN18" s="171" t="n"/>
      <c r="AO18" s="171" t="n"/>
      <c r="AP18" s="44" t="n"/>
      <c r="AQ18" s="171" t="n"/>
      <c r="AR18" s="171" t="n"/>
      <c r="AS18" s="44" t="n"/>
      <c r="AT18" s="171" t="n"/>
      <c r="AU18" s="171" t="n"/>
      <c r="AV18" s="44" t="n"/>
      <c r="AW18" s="171" t="n"/>
      <c r="AX18" s="171" t="n"/>
      <c r="AY18" s="44" t="n"/>
      <c r="AZ18" s="171" t="n"/>
      <c r="BA18" s="171" t="n"/>
      <c r="BB18" s="44" t="n"/>
      <c r="BC18" s="171" t="n"/>
      <c r="BD18" s="171" t="n"/>
      <c r="BE18" s="171" t="n"/>
      <c r="BF18" s="44" t="n"/>
      <c r="BG18" s="171" t="n"/>
      <c r="BH18" s="171" t="n"/>
      <c r="BI18" s="171" t="n"/>
      <c r="BJ18" s="171" t="n"/>
      <c r="BK18" s="44" t="n"/>
      <c r="BL18" s="171" t="n"/>
      <c r="BM18" s="171" t="n"/>
      <c r="BN18" s="44" t="n"/>
      <c r="BO18" s="171" t="n"/>
      <c r="BP18" s="171" t="n"/>
      <c r="BQ18" s="44" t="n"/>
      <c r="BR18" s="171" t="n"/>
      <c r="BS18" s="171" t="n"/>
      <c r="BT18" s="44" t="n"/>
      <c r="BU18" s="171" t="n"/>
      <c r="BV18" s="171" t="n"/>
      <c r="BW18" s="44" t="n"/>
      <c r="BX18" s="171" t="n"/>
      <c r="BY18" s="171" t="n"/>
      <c r="BZ18" s="44" t="n"/>
      <c r="CA18" s="171" t="n"/>
      <c r="CB18" s="3" t="n"/>
      <c r="CD18" s="44" t="n"/>
      <c r="CF18" s="44" t="n"/>
      <c r="CH18" s="44" t="n"/>
      <c r="CK18" s="44" t="n"/>
      <c r="CN18" s="44" t="n"/>
      <c r="CP18" s="44" t="n"/>
      <c r="CR18" s="44" t="n"/>
      <c r="CS18" s="44" t="n"/>
    </row>
    <row r="19" ht="15.75" customHeight="1">
      <c r="A19" s="3" t="n"/>
      <c r="B19" s="214" t="n"/>
      <c r="C19" s="171" t="n"/>
      <c r="D19" s="44" t="n"/>
      <c r="E19" s="171" t="n"/>
      <c r="F19" s="146" t="inlineStr">
        <is>
          <t>6300~7200</t>
        </is>
      </c>
      <c r="G19" s="145" t="inlineStr">
        <is>
          <t>0~4800</t>
        </is>
      </c>
      <c r="H19" s="145" t="inlineStr">
        <is>
          <t>0.9±0.1</t>
        </is>
      </c>
      <c r="I19" s="145" t="inlineStr">
        <is>
          <t>0~350</t>
        </is>
      </c>
      <c r="J19" s="145" t="inlineStr">
        <is>
          <t>0~4800</t>
        </is>
      </c>
      <c r="K19" s="145" t="inlineStr">
        <is>
          <t>59.5~60.5</t>
        </is>
      </c>
      <c r="L19" s="145" t="n"/>
      <c r="M19" s="145" t="inlineStr">
        <is>
          <t>0~2400</t>
        </is>
      </c>
      <c r="N19" s="145" t="inlineStr">
        <is>
          <t>0~200</t>
        </is>
      </c>
      <c r="O19" s="145" t="n"/>
      <c r="P19" s="145" t="inlineStr">
        <is>
          <t>0~1200</t>
        </is>
      </c>
      <c r="Q19" s="145" t="inlineStr">
        <is>
          <t>0~100</t>
        </is>
      </c>
      <c r="R19" s="145" t="n"/>
      <c r="S19" s="145" t="inlineStr">
        <is>
          <t>0~2400</t>
        </is>
      </c>
      <c r="T19" s="145" t="inlineStr">
        <is>
          <t>0~200</t>
        </is>
      </c>
      <c r="U19" s="145" t="n"/>
      <c r="V19" s="145" t="inlineStr">
        <is>
          <t>0~1200</t>
        </is>
      </c>
      <c r="W19" s="145" t="inlineStr">
        <is>
          <t>0~100</t>
        </is>
      </c>
      <c r="X19" s="145" t="n"/>
      <c r="Y19" s="145" t="inlineStr">
        <is>
          <t>0~2400</t>
        </is>
      </c>
      <c r="Z19" s="145" t="inlineStr">
        <is>
          <t>0~200</t>
        </is>
      </c>
      <c r="AA19" s="145" t="n"/>
      <c r="AB19" s="145" t="inlineStr">
        <is>
          <t>0~1200</t>
        </is>
      </c>
      <c r="AC19" s="145" t="inlineStr">
        <is>
          <t>0~100</t>
        </is>
      </c>
      <c r="AD19" s="145" t="n"/>
      <c r="AE19" s="145" t="inlineStr">
        <is>
          <t>0~1200</t>
        </is>
      </c>
      <c r="AF19" s="145" t="inlineStr">
        <is>
          <t>0~100</t>
        </is>
      </c>
      <c r="AG19" s="145" t="n"/>
      <c r="AH19" s="145" t="inlineStr">
        <is>
          <t>0~1200</t>
        </is>
      </c>
      <c r="AI19" s="145" t="inlineStr">
        <is>
          <t>0~100</t>
        </is>
      </c>
      <c r="AJ19" s="145" t="inlineStr">
        <is>
          <t>-</t>
        </is>
      </c>
      <c r="AK19" s="171" t="n"/>
      <c r="AL19" s="171" t="n"/>
      <c r="AM19" s="44" t="n"/>
      <c r="AN19" s="171" t="n"/>
      <c r="AO19" s="171" t="n"/>
      <c r="AP19" s="44" t="n"/>
      <c r="AQ19" s="171" t="n"/>
      <c r="AR19" s="171" t="n"/>
      <c r="AS19" s="44" t="n"/>
      <c r="AT19" s="171" t="n"/>
      <c r="AU19" s="171" t="n"/>
      <c r="AV19" s="44" t="n"/>
      <c r="AW19" s="171" t="n"/>
      <c r="AX19" s="171" t="n"/>
      <c r="AY19" s="44" t="n"/>
      <c r="AZ19" s="171" t="n"/>
      <c r="BA19" s="171" t="n"/>
      <c r="BB19" s="44" t="n"/>
      <c r="BC19" s="171" t="n"/>
      <c r="BD19" s="171" t="n"/>
      <c r="BE19" s="171" t="n"/>
      <c r="BF19" s="44" t="n"/>
      <c r="BG19" s="171" t="n"/>
      <c r="BH19" s="171" t="n"/>
      <c r="BI19" s="171" t="n"/>
      <c r="BJ19" s="171" t="n"/>
      <c r="BK19" s="44" t="n"/>
      <c r="BL19" s="171" t="n"/>
      <c r="BM19" s="171" t="n"/>
      <c r="BN19" s="44" t="n"/>
      <c r="BO19" s="171" t="n"/>
      <c r="BP19" s="171" t="n"/>
      <c r="BQ19" s="44" t="n"/>
      <c r="BR19" s="171" t="n"/>
      <c r="BS19" s="171" t="n"/>
      <c r="BT19" s="44" t="n"/>
      <c r="BU19" s="171" t="n"/>
      <c r="BV19" s="171" t="n"/>
      <c r="BW19" s="44" t="n"/>
      <c r="BX19" s="171" t="n"/>
      <c r="BY19" s="171" t="n"/>
      <c r="BZ19" s="44" t="n"/>
      <c r="CA19" s="171" t="n"/>
      <c r="CB19" s="3" t="n"/>
      <c r="CD19" s="44" t="n"/>
      <c r="CF19" s="44" t="n"/>
      <c r="CH19" s="44" t="n"/>
      <c r="CK19" s="44" t="n"/>
      <c r="CN19" s="44" t="n"/>
      <c r="CP19" s="44" t="n"/>
      <c r="CR19" s="44" t="n"/>
      <c r="CS19" s="44" t="n"/>
    </row>
    <row r="20" ht="15.75" customHeight="1">
      <c r="A20" s="3" t="n"/>
      <c r="B20" s="152" t="n">
        <v>0.25</v>
      </c>
      <c r="C20" s="171" t="n"/>
      <c r="D20" s="44" t="n"/>
      <c r="E20" s="171" t="n"/>
      <c r="F20" s="137" t="n"/>
      <c r="G20" s="136" t="n"/>
      <c r="H20" s="136" t="n"/>
      <c r="I20" s="136" t="n"/>
      <c r="J20" s="136" t="n"/>
      <c r="K20" s="136" t="n"/>
      <c r="L20" s="136" t="n"/>
      <c r="M20" s="136" t="n"/>
      <c r="N20" s="136" t="n"/>
      <c r="O20" s="136" t="n"/>
      <c r="P20" s="136" t="n"/>
      <c r="Q20" s="136" t="n"/>
      <c r="R20" s="136" t="n"/>
      <c r="S20" s="136" t="n"/>
      <c r="T20" s="136" t="n"/>
      <c r="U20" s="136" t="n"/>
      <c r="V20" s="136" t="n"/>
      <c r="W20" s="136" t="n"/>
      <c r="X20" s="136" t="n"/>
      <c r="Y20" s="136" t="n"/>
      <c r="Z20" s="136" t="n"/>
      <c r="AA20" s="136" t="n"/>
      <c r="AB20" s="136" t="n"/>
      <c r="AC20" s="136" t="n"/>
      <c r="AD20" s="136" t="n"/>
      <c r="AE20" s="136" t="n"/>
      <c r="AF20" s="136" t="n"/>
      <c r="AG20" s="136" t="n"/>
      <c r="AH20" s="136" t="n"/>
      <c r="AI20" s="136" t="n"/>
      <c r="AJ20" s="136" t="n"/>
      <c r="AK20" s="171" t="n"/>
      <c r="AL20" s="171" t="n"/>
      <c r="AM20" s="44" t="n"/>
      <c r="AN20" s="171" t="n"/>
      <c r="AO20" s="171" t="n"/>
      <c r="AP20" s="44" t="n"/>
      <c r="AQ20" s="171" t="n"/>
      <c r="AR20" s="171" t="n"/>
      <c r="AS20" s="44" t="n"/>
      <c r="AT20" s="171" t="n"/>
      <c r="AU20" s="171" t="n"/>
      <c r="AV20" s="44" t="n"/>
      <c r="AW20" s="171" t="n"/>
      <c r="AX20" s="171" t="n"/>
      <c r="AY20" s="44" t="n"/>
      <c r="AZ20" s="171" t="n"/>
      <c r="BA20" s="171" t="n"/>
      <c r="BB20" s="44" t="n"/>
      <c r="BC20" s="171" t="n"/>
      <c r="BD20" s="171" t="n"/>
      <c r="BE20" s="171" t="n"/>
      <c r="BF20" s="44" t="n"/>
      <c r="BG20" s="171" t="n"/>
      <c r="BH20" s="171" t="n"/>
      <c r="BI20" s="171" t="n"/>
      <c r="BJ20" s="171" t="n"/>
      <c r="BK20" s="44" t="n"/>
      <c r="BL20" s="171" t="n"/>
      <c r="BM20" s="171" t="n"/>
      <c r="BN20" s="44" t="n"/>
      <c r="BO20" s="171" t="n"/>
      <c r="BP20" s="171" t="n"/>
      <c r="BQ20" s="44" t="n"/>
      <c r="BR20" s="171" t="n"/>
      <c r="BS20" s="171" t="n"/>
      <c r="BT20" s="44" t="n"/>
      <c r="BU20" s="171" t="n"/>
      <c r="BV20" s="171" t="n"/>
      <c r="BW20" s="44" t="n"/>
      <c r="BX20" s="171" t="n"/>
      <c r="BY20" s="171" t="n"/>
      <c r="BZ20" s="44" t="n"/>
      <c r="CA20" s="171" t="n"/>
      <c r="CB20" s="3" t="n"/>
      <c r="CD20" s="44" t="n"/>
      <c r="CF20" s="44" t="n"/>
      <c r="CH20" s="44" t="n"/>
      <c r="CK20" s="44" t="n"/>
      <c r="CN20" s="44" t="n"/>
      <c r="CP20" s="44" t="n"/>
      <c r="CR20" s="44" t="n"/>
      <c r="CS20" s="44" t="n"/>
    </row>
    <row r="21" ht="15.75" customHeight="1">
      <c r="A21" s="3" t="n"/>
      <c r="B21" s="147" t="n">
        <v>0.4166666666666667</v>
      </c>
      <c r="C21" s="171" t="n"/>
      <c r="D21" s="44" t="n"/>
      <c r="E21" s="171" t="n"/>
      <c r="F21" s="137" t="n"/>
      <c r="G21" s="136" t="n"/>
      <c r="H21" s="136" t="n"/>
      <c r="I21" s="136" t="n"/>
      <c r="J21" s="136" t="n"/>
      <c r="K21" s="136" t="n"/>
      <c r="L21" s="136" t="n"/>
      <c r="M21" s="136" t="n"/>
      <c r="N21" s="136" t="n"/>
      <c r="O21" s="136" t="n"/>
      <c r="P21" s="136" t="n"/>
      <c r="Q21" s="136" t="n"/>
      <c r="R21" s="136" t="n"/>
      <c r="S21" s="136" t="n"/>
      <c r="T21" s="136" t="n"/>
      <c r="U21" s="136" t="n"/>
      <c r="V21" s="136" t="n"/>
      <c r="W21" s="136" t="n"/>
      <c r="X21" s="136" t="n"/>
      <c r="Y21" s="136" t="n"/>
      <c r="Z21" s="136" t="n"/>
      <c r="AA21" s="136" t="n"/>
      <c r="AB21" s="136" t="n"/>
      <c r="AC21" s="136" t="n"/>
      <c r="AD21" s="136" t="n"/>
      <c r="AE21" s="136" t="n"/>
      <c r="AF21" s="136" t="n"/>
      <c r="AG21" s="136" t="n"/>
      <c r="AH21" s="136" t="n"/>
      <c r="AI21" s="136" t="n"/>
      <c r="AJ21" s="136" t="n"/>
      <c r="AK21" s="171" t="n"/>
      <c r="AL21" s="171" t="n"/>
      <c r="AM21" s="44" t="n"/>
      <c r="AN21" s="171" t="n"/>
      <c r="AO21" s="171" t="n"/>
      <c r="AP21" s="44" t="n"/>
      <c r="AQ21" s="171" t="n"/>
      <c r="AR21" s="171" t="n"/>
      <c r="AS21" s="44" t="n"/>
      <c r="AT21" s="171" t="n"/>
      <c r="AU21" s="171" t="n"/>
      <c r="AV21" s="44" t="n"/>
      <c r="AW21" s="171" t="n"/>
      <c r="AX21" s="171" t="n"/>
      <c r="AY21" s="44" t="n"/>
      <c r="AZ21" s="171" t="n"/>
      <c r="BA21" s="171" t="n"/>
      <c r="BB21" s="44" t="n"/>
      <c r="BC21" s="171" t="n"/>
      <c r="BD21" s="171" t="n"/>
      <c r="BE21" s="171" t="n"/>
      <c r="BF21" s="44" t="n"/>
      <c r="BG21" s="171" t="n"/>
      <c r="BH21" s="171" t="n"/>
      <c r="BI21" s="171" t="n"/>
      <c r="BJ21" s="171" t="n"/>
      <c r="BK21" s="44" t="n"/>
      <c r="BL21" s="171" t="n"/>
      <c r="BM21" s="171" t="n"/>
      <c r="BN21" s="44" t="n"/>
      <c r="BO21" s="171" t="n"/>
      <c r="BP21" s="171" t="n"/>
      <c r="BQ21" s="44" t="n"/>
      <c r="BR21" s="171" t="n"/>
      <c r="BS21" s="171" t="n"/>
      <c r="BT21" s="44" t="n"/>
      <c r="BU21" s="171" t="n"/>
      <c r="BV21" s="171" t="n"/>
      <c r="BW21" s="44" t="n"/>
      <c r="BX21" s="171" t="n"/>
      <c r="BY21" s="171" t="n"/>
      <c r="BZ21" s="44" t="n"/>
      <c r="CA21" s="171" t="n"/>
      <c r="CB21" s="3" t="n"/>
      <c r="CD21" s="44" t="n"/>
      <c r="CF21" s="44" t="n"/>
      <c r="CH21" s="44" t="n"/>
      <c r="CK21" s="44" t="n"/>
      <c r="CN21" s="44" t="n"/>
      <c r="CP21" s="44" t="n"/>
      <c r="CR21" s="44" t="n"/>
      <c r="CS21" s="44" t="n"/>
    </row>
    <row r="22" ht="15.75" customHeight="1">
      <c r="A22" s="3" t="n"/>
      <c r="B22" s="147" t="n">
        <v>0.5833333333333334</v>
      </c>
      <c r="C22" s="171" t="n"/>
      <c r="D22" s="44" t="n"/>
      <c r="E22" s="171" t="n"/>
      <c r="F22" s="137" t="n"/>
      <c r="G22" s="136" t="n"/>
      <c r="H22" s="136" t="n"/>
      <c r="I22" s="136" t="n"/>
      <c r="J22" s="136" t="n"/>
      <c r="K22" s="136" t="n"/>
      <c r="L22" s="136" t="n"/>
      <c r="M22" s="136" t="n"/>
      <c r="N22" s="136" t="n"/>
      <c r="O22" s="136" t="n"/>
      <c r="P22" s="136" t="n"/>
      <c r="Q22" s="136" t="n"/>
      <c r="R22" s="136" t="n"/>
      <c r="S22" s="136" t="n"/>
      <c r="T22" s="136" t="n"/>
      <c r="U22" s="136" t="n"/>
      <c r="V22" s="136" t="n"/>
      <c r="W22" s="136" t="n"/>
      <c r="X22" s="136" t="n"/>
      <c r="Y22" s="136" t="n"/>
      <c r="Z22" s="136" t="n"/>
      <c r="AA22" s="136" t="n"/>
      <c r="AB22" s="136" t="n"/>
      <c r="AC22" s="136" t="n"/>
      <c r="AD22" s="136" t="n"/>
      <c r="AE22" s="136" t="n"/>
      <c r="AF22" s="136" t="n"/>
      <c r="AG22" s="136" t="n"/>
      <c r="AH22" s="136" t="n"/>
      <c r="AI22" s="136" t="n"/>
      <c r="AJ22" s="136" t="n"/>
      <c r="AK22" s="171" t="n"/>
      <c r="AL22" s="171" t="n"/>
      <c r="AM22" s="44" t="n"/>
      <c r="AN22" s="171" t="n"/>
      <c r="AO22" s="171" t="n"/>
      <c r="AP22" s="44" t="n"/>
      <c r="AQ22" s="171" t="n"/>
      <c r="AR22" s="171" t="n"/>
      <c r="AS22" s="44" t="n"/>
      <c r="AT22" s="171" t="n"/>
      <c r="AU22" s="171" t="n"/>
      <c r="AV22" s="44" t="n"/>
      <c r="AW22" s="171" t="n"/>
      <c r="AX22" s="171" t="n"/>
      <c r="AY22" s="44" t="n"/>
      <c r="AZ22" s="171" t="n"/>
      <c r="BA22" s="171" t="n"/>
      <c r="BB22" s="44" t="n"/>
      <c r="BC22" s="171" t="n"/>
      <c r="BD22" s="171" t="n"/>
      <c r="BE22" s="171" t="n"/>
      <c r="BF22" s="44" t="n"/>
      <c r="BG22" s="171" t="n"/>
      <c r="BH22" s="171" t="n"/>
      <c r="BI22" s="171" t="n"/>
      <c r="BJ22" s="171" t="n"/>
      <c r="BK22" s="44" t="n"/>
      <c r="BL22" s="171" t="n"/>
      <c r="BM22" s="171" t="n"/>
      <c r="BN22" s="44" t="n"/>
      <c r="BO22" s="171" t="n"/>
      <c r="BP22" s="171" t="n"/>
      <c r="BQ22" s="44" t="n"/>
      <c r="BR22" s="171" t="n"/>
      <c r="BS22" s="171" t="n"/>
      <c r="BT22" s="44" t="n"/>
      <c r="BU22" s="171" t="n"/>
      <c r="BV22" s="171" t="n"/>
      <c r="BW22" s="44" t="n"/>
      <c r="BX22" s="171" t="n"/>
      <c r="BY22" s="171" t="n"/>
      <c r="BZ22" s="44" t="n"/>
      <c r="CA22" s="171" t="n"/>
      <c r="CB22" s="3" t="n"/>
      <c r="CD22" s="44" t="n"/>
      <c r="CF22" s="44" t="n"/>
      <c r="CH22" s="44" t="n"/>
      <c r="CK22" s="44" t="n"/>
      <c r="CN22" s="44" t="n"/>
      <c r="CP22" s="44" t="n"/>
      <c r="CR22" s="44" t="n"/>
      <c r="CS22" s="44" t="n"/>
    </row>
    <row r="23" ht="15.75" customHeight="1">
      <c r="A23" s="3" t="n"/>
      <c r="B23" s="147" t="n">
        <v>0.7083333333333334</v>
      </c>
      <c r="C23" s="171" t="n"/>
      <c r="D23" s="44" t="n"/>
      <c r="E23" s="171" t="n"/>
      <c r="F23" s="137" t="n"/>
      <c r="G23" s="136" t="n"/>
      <c r="H23" s="136" t="n"/>
      <c r="I23" s="136" t="n"/>
      <c r="J23" s="136" t="n"/>
      <c r="K23" s="136" t="n"/>
      <c r="L23" s="136" t="n"/>
      <c r="M23" s="136" t="n"/>
      <c r="N23" s="136" t="n"/>
      <c r="O23" s="136" t="n"/>
      <c r="P23" s="136" t="n"/>
      <c r="Q23" s="136" t="n"/>
      <c r="R23" s="136" t="n"/>
      <c r="S23" s="136" t="n"/>
      <c r="T23" s="136" t="n"/>
      <c r="U23" s="136" t="n"/>
      <c r="V23" s="136" t="n"/>
      <c r="W23" s="136" t="n"/>
      <c r="X23" s="136" t="n"/>
      <c r="Y23" s="136" t="n"/>
      <c r="Z23" s="136" t="n"/>
      <c r="AA23" s="136" t="n"/>
      <c r="AB23" s="136" t="n"/>
      <c r="AC23" s="136" t="n"/>
      <c r="AD23" s="136" t="n"/>
      <c r="AE23" s="136" t="n"/>
      <c r="AF23" s="136" t="n"/>
      <c r="AG23" s="136" t="n"/>
      <c r="AH23" s="136" t="n"/>
      <c r="AI23" s="136" t="n"/>
      <c r="AJ23" s="136" t="n"/>
      <c r="AK23" s="171" t="n"/>
      <c r="AL23" s="171" t="n"/>
      <c r="AM23" s="44" t="n"/>
      <c r="AN23" s="171" t="n"/>
      <c r="AO23" s="171" t="n"/>
      <c r="AP23" s="44" t="n"/>
      <c r="AQ23" s="171" t="n"/>
      <c r="AR23" s="171" t="n"/>
      <c r="AS23" s="44" t="n"/>
      <c r="AT23" s="171" t="n"/>
      <c r="AU23" s="171" t="n"/>
      <c r="AV23" s="44" t="n"/>
      <c r="AW23" s="171" t="n"/>
      <c r="AX23" s="171" t="n"/>
      <c r="AY23" s="44" t="n"/>
      <c r="AZ23" s="171" t="n"/>
      <c r="BA23" s="171" t="n"/>
      <c r="BB23" s="44" t="n"/>
      <c r="BC23" s="171" t="n"/>
      <c r="BD23" s="171" t="n"/>
      <c r="BE23" s="171" t="n"/>
      <c r="BF23" s="44" t="n"/>
      <c r="BG23" s="171" t="n"/>
      <c r="BH23" s="171" t="n"/>
      <c r="BI23" s="171" t="n"/>
      <c r="BJ23" s="171" t="n"/>
      <c r="BK23" s="44" t="n"/>
      <c r="BL23" s="171" t="n"/>
      <c r="BM23" s="171" t="n"/>
      <c r="BN23" s="44" t="n"/>
      <c r="BO23" s="171" t="n"/>
      <c r="BP23" s="171" t="n"/>
      <c r="BQ23" s="44" t="n"/>
      <c r="BR23" s="171" t="n"/>
      <c r="BS23" s="171" t="n"/>
      <c r="BT23" s="44" t="n"/>
      <c r="BU23" s="171" t="n"/>
      <c r="BV23" s="171" t="n"/>
      <c r="BW23" s="44" t="n"/>
      <c r="BX23" s="171" t="n"/>
      <c r="BY23" s="171" t="n"/>
      <c r="BZ23" s="44" t="n"/>
      <c r="CA23" s="171" t="n"/>
      <c r="CB23" s="3" t="n"/>
      <c r="CD23" s="44" t="n"/>
      <c r="CF23" s="44" t="n"/>
      <c r="CH23" s="44" t="n"/>
      <c r="CK23" s="44" t="n"/>
      <c r="CN23" s="44" t="n"/>
      <c r="CP23" s="44" t="n"/>
      <c r="CR23" s="44" t="n"/>
      <c r="CS23" s="44" t="n"/>
    </row>
    <row r="24" ht="15.75" customHeight="1">
      <c r="A24" s="3" t="n"/>
      <c r="B24" s="147" t="n">
        <v>0.8333333333333334</v>
      </c>
      <c r="C24" s="171" t="n"/>
      <c r="D24" s="44" t="n"/>
      <c r="E24" s="171" t="n"/>
      <c r="F24" s="149" t="n"/>
      <c r="G24" s="148" t="n"/>
      <c r="H24" s="148" t="n"/>
      <c r="I24" s="148" t="n"/>
      <c r="J24" s="148" t="n"/>
      <c r="K24" s="148" t="n"/>
      <c r="L24" s="148" t="n"/>
      <c r="M24" s="148" t="n"/>
      <c r="N24" s="148" t="n"/>
      <c r="O24" s="148" t="n"/>
      <c r="P24" s="148" t="n"/>
      <c r="Q24" s="148" t="n"/>
      <c r="R24" s="148" t="n"/>
      <c r="S24" s="148" t="n"/>
      <c r="T24" s="148" t="n"/>
      <c r="U24" s="136" t="n"/>
      <c r="V24" s="136" t="n"/>
      <c r="W24" s="136" t="n"/>
      <c r="X24" s="136" t="n"/>
      <c r="Y24" s="136" t="n"/>
      <c r="Z24" s="136" t="n"/>
      <c r="AA24" s="136" t="n"/>
      <c r="AB24" s="136" t="n"/>
      <c r="AC24" s="136" t="n"/>
      <c r="AD24" s="136" t="n"/>
      <c r="AE24" s="136" t="n"/>
      <c r="AF24" s="136" t="n"/>
      <c r="AG24" s="136" t="n"/>
      <c r="AH24" s="136" t="n"/>
      <c r="AI24" s="136" t="n"/>
      <c r="AJ24" s="136" t="n"/>
      <c r="AK24" s="171" t="n"/>
      <c r="AL24" s="171" t="n"/>
      <c r="AM24" s="44" t="n"/>
      <c r="AN24" s="171" t="n"/>
      <c r="AO24" s="171" t="n"/>
      <c r="AP24" s="44" t="n"/>
      <c r="AQ24" s="171" t="n"/>
      <c r="AR24" s="171" t="n"/>
      <c r="AS24" s="44" t="n"/>
      <c r="AT24" s="171" t="n"/>
      <c r="AU24" s="171" t="n"/>
      <c r="AV24" s="44" t="n"/>
      <c r="AW24" s="171" t="n"/>
      <c r="AX24" s="171" t="n"/>
      <c r="AY24" s="44" t="n"/>
      <c r="AZ24" s="171" t="n"/>
      <c r="BA24" s="171" t="n"/>
      <c r="BB24" s="44" t="n"/>
      <c r="BC24" s="171" t="n"/>
      <c r="BD24" s="171" t="n"/>
      <c r="BE24" s="171" t="n"/>
      <c r="BF24" s="44" t="n"/>
      <c r="BG24" s="171" t="n"/>
      <c r="BH24" s="171" t="n"/>
      <c r="BI24" s="171" t="n"/>
      <c r="BJ24" s="171" t="n"/>
      <c r="BK24" s="44" t="n"/>
      <c r="BL24" s="171" t="n"/>
      <c r="BM24" s="171" t="n"/>
      <c r="BN24" s="44" t="n"/>
      <c r="BO24" s="171" t="n"/>
      <c r="BP24" s="171" t="n"/>
      <c r="BQ24" s="44" t="n"/>
      <c r="BR24" s="171" t="n"/>
      <c r="BS24" s="171" t="n"/>
      <c r="BT24" s="44" t="n"/>
      <c r="BU24" s="171" t="n"/>
      <c r="BV24" s="171" t="n"/>
      <c r="BW24" s="44" t="n"/>
      <c r="BX24" s="171" t="n"/>
      <c r="BY24" s="171" t="n"/>
      <c r="BZ24" s="44" t="n"/>
      <c r="CA24" s="171" t="n"/>
      <c r="CB24" s="3" t="n"/>
      <c r="CD24" s="44" t="n"/>
      <c r="CF24" s="44" t="n"/>
      <c r="CH24" s="44" t="n"/>
      <c r="CK24" s="44" t="n"/>
      <c r="CN24" s="44" t="n"/>
      <c r="CP24" s="44" t="n"/>
      <c r="CR24" s="44" t="n"/>
      <c r="CS24" s="44" t="n"/>
    </row>
    <row r="25" ht="15.75" customHeight="1">
      <c r="A25" s="3" t="n"/>
      <c r="B25" s="147" t="n">
        <v>0.9166666666666666</v>
      </c>
      <c r="C25" s="171" t="n"/>
      <c r="D25" s="44" t="n"/>
      <c r="E25" s="171" t="n"/>
      <c r="F25" s="143" t="n"/>
      <c r="G25" s="143" t="n"/>
      <c r="H25" s="143" t="n"/>
      <c r="I25" s="143" t="n"/>
      <c r="J25" s="143" t="n"/>
      <c r="K25" s="143" t="n"/>
      <c r="L25" s="143" t="n"/>
      <c r="M25" s="143" t="n"/>
      <c r="N25" s="143" t="n"/>
      <c r="O25" s="143" t="n"/>
      <c r="P25" s="143" t="n"/>
      <c r="Q25" s="143" t="n"/>
      <c r="R25" s="143" t="n"/>
      <c r="S25" s="143" t="n"/>
      <c r="T25" s="143" t="n"/>
      <c r="U25" s="137" t="n"/>
      <c r="V25" s="137" t="n"/>
      <c r="W25" s="137" t="n"/>
      <c r="X25" s="137" t="n"/>
      <c r="Y25" s="137" t="n"/>
      <c r="Z25" s="137" t="n"/>
      <c r="AA25" s="137" t="n"/>
      <c r="AB25" s="137" t="n"/>
      <c r="AC25" s="137" t="n"/>
      <c r="AD25" s="137" t="n"/>
      <c r="AE25" s="137" t="n"/>
      <c r="AF25" s="137" t="n"/>
      <c r="AG25" s="137" t="n"/>
      <c r="AH25" s="137" t="n"/>
      <c r="AI25" s="137" t="n"/>
      <c r="AJ25" s="137" t="n"/>
      <c r="AK25" s="171" t="n"/>
      <c r="AL25" s="171" t="n"/>
      <c r="AM25" s="44" t="n"/>
      <c r="AN25" s="171" t="n"/>
      <c r="AO25" s="171" t="n"/>
      <c r="AP25" s="44" t="n"/>
      <c r="AQ25" s="171" t="n"/>
      <c r="AR25" s="171" t="n"/>
      <c r="AS25" s="44" t="n"/>
      <c r="AT25" s="171" t="n"/>
      <c r="AU25" s="171" t="n"/>
      <c r="AV25" s="44" t="n"/>
      <c r="AW25" s="171" t="n"/>
      <c r="AX25" s="171" t="n"/>
      <c r="AY25" s="44" t="n"/>
      <c r="AZ25" s="171" t="n"/>
      <c r="BA25" s="171" t="n"/>
      <c r="BB25" s="44" t="n"/>
      <c r="BC25" s="171" t="n"/>
      <c r="BD25" s="171" t="n"/>
      <c r="BE25" s="171" t="n"/>
      <c r="BF25" s="44" t="n"/>
      <c r="BG25" s="171" t="n"/>
      <c r="BH25" s="171" t="n"/>
      <c r="BI25" s="171" t="n"/>
      <c r="BJ25" s="171" t="n"/>
      <c r="BK25" s="44" t="n"/>
      <c r="BL25" s="171" t="n"/>
      <c r="BM25" s="171" t="n"/>
      <c r="BN25" s="44" t="n"/>
      <c r="BO25" s="171" t="n"/>
      <c r="BP25" s="171" t="n"/>
      <c r="BQ25" s="44" t="n"/>
      <c r="BR25" s="171" t="n"/>
      <c r="BS25" s="171" t="n"/>
      <c r="BT25" s="44" t="n"/>
      <c r="BU25" s="171" t="n"/>
      <c r="BV25" s="171" t="n"/>
      <c r="BW25" s="44" t="n"/>
      <c r="BX25" s="171" t="n"/>
      <c r="BY25" s="171" t="n"/>
      <c r="BZ25" s="44" t="n"/>
      <c r="CA25" s="171" t="n"/>
      <c r="CB25" s="3" t="n"/>
      <c r="CD25" s="44" t="n"/>
      <c r="CF25" s="44" t="n"/>
      <c r="CH25" s="44" t="n"/>
      <c r="CK25" s="44" t="n"/>
      <c r="CN25" s="44" t="n"/>
      <c r="CP25" s="44" t="n"/>
      <c r="CR25" s="44" t="n"/>
      <c r="CS25" s="44" t="n"/>
    </row>
    <row r="26" ht="15.75" customHeight="1">
      <c r="A26" s="3" t="n"/>
      <c r="B26" s="171" t="n"/>
      <c r="C26" s="171" t="n"/>
      <c r="D26" s="44" t="n"/>
      <c r="E26" s="171" t="n"/>
      <c r="F26" s="150" t="n"/>
      <c r="G26" s="171" t="n"/>
      <c r="H26" s="171" t="n"/>
      <c r="I26" s="44" t="n"/>
      <c r="J26" s="171" t="n"/>
      <c r="K26" s="171" t="n"/>
      <c r="L26" s="171" t="n"/>
      <c r="M26" s="171" t="n"/>
      <c r="N26" s="44" t="n"/>
      <c r="O26" s="171" t="n"/>
      <c r="P26" s="171" t="n"/>
      <c r="Q26" s="44" t="n"/>
      <c r="R26" s="171" t="n"/>
      <c r="S26" s="171" t="n"/>
      <c r="T26" s="44" t="n"/>
      <c r="U26" s="171" t="n"/>
      <c r="V26" s="171" t="n"/>
      <c r="W26" s="171" t="n"/>
      <c r="X26" s="171" t="n"/>
      <c r="Y26" s="44" t="n"/>
      <c r="Z26" s="171" t="n"/>
      <c r="AA26" s="171" t="n"/>
      <c r="AB26" s="171" t="n"/>
      <c r="AC26" s="171" t="n"/>
      <c r="AD26" s="44" t="n"/>
      <c r="AE26" s="171" t="n"/>
      <c r="AF26" s="171" t="n"/>
      <c r="AG26" s="44" t="n"/>
      <c r="AH26" s="171" t="n"/>
      <c r="AI26" s="171" t="n"/>
      <c r="AJ26" s="44" t="n"/>
      <c r="AK26" s="171" t="n"/>
      <c r="AL26" s="171" t="n"/>
      <c r="AM26" s="44" t="n"/>
      <c r="AN26" s="171" t="n"/>
      <c r="AO26" s="171" t="n"/>
      <c r="AP26" s="44" t="n"/>
      <c r="AQ26" s="171" t="n"/>
      <c r="AR26" s="171" t="n"/>
      <c r="AS26" s="44" t="n"/>
      <c r="AT26" s="171" t="n"/>
      <c r="AU26" s="171" t="n"/>
      <c r="AV26" s="44" t="n"/>
      <c r="AW26" s="171" t="n"/>
      <c r="AX26" s="171" t="n"/>
      <c r="AY26" s="44" t="n"/>
      <c r="AZ26" s="171" t="n"/>
      <c r="BA26" s="171" t="n"/>
      <c r="BB26" s="44" t="n"/>
      <c r="BC26" s="171" t="n"/>
      <c r="BD26" s="171" t="n"/>
      <c r="BE26" s="171" t="n"/>
      <c r="BF26" s="44" t="n"/>
      <c r="BG26" s="171" t="n"/>
      <c r="BH26" s="171" t="n"/>
      <c r="BI26" s="171" t="n"/>
      <c r="BJ26" s="171" t="n"/>
      <c r="BK26" s="44" t="n"/>
      <c r="BL26" s="171" t="n"/>
      <c r="BM26" s="171" t="n"/>
      <c r="BN26" s="44" t="n"/>
      <c r="BO26" s="171" t="n"/>
      <c r="BP26" s="171" t="n"/>
      <c r="BQ26" s="44" t="n"/>
      <c r="BR26" s="171" t="n"/>
      <c r="BS26" s="171" t="n"/>
      <c r="BT26" s="44" t="n"/>
      <c r="BU26" s="171" t="n"/>
      <c r="BV26" s="171" t="n"/>
      <c r="BW26" s="44" t="n"/>
      <c r="BX26" s="171" t="n"/>
      <c r="BY26" s="171" t="n"/>
      <c r="BZ26" s="44" t="n"/>
      <c r="CA26" s="171" t="n"/>
      <c r="CB26" s="3" t="n"/>
      <c r="CD26" s="44" t="n"/>
      <c r="CF26" s="44" t="n"/>
      <c r="CH26" s="44" t="n"/>
      <c r="CK26" s="44" t="n"/>
      <c r="CN26" s="44" t="n"/>
      <c r="CP26" s="44" t="n"/>
      <c r="CR26" s="44" t="n"/>
      <c r="CS26" s="44" t="n"/>
    </row>
    <row r="27" ht="15.75" customHeight="1">
      <c r="A27" s="3" t="n"/>
      <c r="B27" s="171" t="n"/>
      <c r="C27" s="171" t="n"/>
      <c r="D27" s="44" t="n"/>
      <c r="E27" s="171" t="n"/>
      <c r="F27" s="192" t="inlineStr">
        <is>
          <t>주택변전소 운전일지[Ⅰ]</t>
        </is>
      </c>
      <c r="G27" s="215" t="n"/>
      <c r="H27" s="215" t="n"/>
      <c r="I27" s="215" t="n"/>
      <c r="J27" s="215" t="n"/>
      <c r="K27" s="215" t="n"/>
      <c r="L27" s="215" t="n"/>
      <c r="M27" s="215" t="n"/>
      <c r="N27" s="215" t="n"/>
      <c r="O27" s="215" t="n"/>
      <c r="P27" s="215" t="n"/>
      <c r="Q27" s="215" t="n"/>
      <c r="R27" s="215" t="n"/>
      <c r="S27" s="215" t="n"/>
      <c r="T27" s="215" t="n"/>
      <c r="U27" s="215" t="n"/>
      <c r="V27" s="215" t="n"/>
      <c r="W27" s="215" t="n"/>
      <c r="X27" s="215" t="n"/>
      <c r="Y27" s="215" t="n"/>
      <c r="Z27" s="215" t="n"/>
      <c r="AA27" s="215" t="n"/>
      <c r="AB27" s="215" t="n"/>
      <c r="AC27" s="215" t="n"/>
      <c r="AD27" s="215" t="n"/>
      <c r="AE27" s="215" t="n"/>
      <c r="AF27" s="215" t="n"/>
      <c r="AG27" s="44" t="n"/>
      <c r="AH27" s="171" t="n"/>
      <c r="AI27" s="171" t="n"/>
      <c r="AJ27" s="44" t="n"/>
      <c r="AK27" s="171" t="n"/>
      <c r="AL27" s="171" t="n"/>
      <c r="AM27" s="44" t="n"/>
      <c r="AN27" s="171" t="n"/>
      <c r="AO27" s="171" t="n"/>
      <c r="AP27" s="44" t="n"/>
      <c r="AQ27" s="171" t="n"/>
      <c r="AR27" s="171" t="n"/>
      <c r="AS27" s="44" t="n"/>
      <c r="AT27" s="171" t="n"/>
      <c r="AU27" s="171" t="n"/>
      <c r="AV27" s="44" t="n"/>
      <c r="AW27" s="171" t="n"/>
      <c r="AX27" s="171" t="n"/>
      <c r="AY27" s="44" t="n"/>
      <c r="AZ27" s="171" t="n"/>
      <c r="BA27" s="171" t="n"/>
      <c r="BB27" s="44" t="n"/>
      <c r="BC27" s="171" t="n"/>
      <c r="BD27" s="171" t="n"/>
      <c r="BE27" s="171" t="n"/>
      <c r="BF27" s="44" t="n"/>
      <c r="BG27" s="171" t="n"/>
      <c r="BH27" s="171" t="n"/>
      <c r="BI27" s="171" t="n"/>
      <c r="BJ27" s="171" t="n"/>
      <c r="BK27" s="44" t="n"/>
      <c r="BL27" s="171" t="n"/>
      <c r="BM27" s="171" t="n"/>
      <c r="BN27" s="44" t="n"/>
      <c r="BO27" s="171" t="n"/>
      <c r="BP27" s="171" t="n"/>
      <c r="BQ27" s="44" t="n"/>
      <c r="BR27" s="171" t="n"/>
      <c r="BS27" s="171" t="n"/>
      <c r="BT27" s="44" t="n"/>
      <c r="BU27" s="171" t="n"/>
      <c r="BV27" s="171" t="n"/>
      <c r="BW27" s="44" t="n"/>
      <c r="BX27" s="171" t="n"/>
      <c r="BY27" s="171" t="n"/>
      <c r="BZ27" s="44" t="n"/>
      <c r="CA27" s="171" t="n"/>
      <c r="CB27" s="3" t="n"/>
      <c r="CD27" s="44" t="n"/>
      <c r="CF27" s="44" t="n"/>
      <c r="CH27" s="44" t="n"/>
      <c r="CK27" s="44" t="n"/>
      <c r="CN27" s="44" t="n"/>
      <c r="CP27" s="44" t="n"/>
      <c r="CR27" s="44" t="n"/>
      <c r="CS27" s="44" t="n"/>
    </row>
    <row r="28" ht="15.75" customHeight="1">
      <c r="A28" s="3" t="n"/>
      <c r="B28" s="182" t="inlineStr">
        <is>
          <t>구분</t>
        </is>
      </c>
      <c r="C28" s="171" t="n"/>
      <c r="D28" s="44" t="n"/>
      <c r="E28" s="171" t="n"/>
      <c r="F28" s="174" t="inlineStr">
        <is>
          <t>No.1,2 MAIN</t>
        </is>
      </c>
      <c r="G28" s="212" t="n"/>
      <c r="H28" s="174" t="inlineStr">
        <is>
          <t>No.1 6.6KV INCOMMING</t>
        </is>
      </c>
      <c r="I28" s="211" t="n"/>
      <c r="J28" s="211" t="n"/>
      <c r="K28" s="211" t="n"/>
      <c r="L28" s="211" t="n"/>
      <c r="M28" s="211" t="n"/>
      <c r="N28" s="212" t="n"/>
      <c r="O28" s="174" t="inlineStr">
        <is>
          <t>몰오브</t>
        </is>
      </c>
      <c r="P28" s="211" t="n"/>
      <c r="Q28" s="212" t="n"/>
      <c r="R28" s="174" t="inlineStr">
        <is>
          <t>18 S/S</t>
        </is>
      </c>
      <c r="S28" s="211" t="n"/>
      <c r="T28" s="212" t="n"/>
      <c r="U28" s="174" t="inlineStr">
        <is>
          <t xml:space="preserve">12,16 S/S </t>
        </is>
      </c>
      <c r="V28" s="211" t="n"/>
      <c r="W28" s="212" t="n"/>
      <c r="X28" s="174" t="inlineStr">
        <is>
          <t xml:space="preserve">6 S/S </t>
        </is>
      </c>
      <c r="Y28" s="211" t="n"/>
      <c r="Z28" s="212" t="n"/>
      <c r="AA28" s="174" t="inlineStr">
        <is>
          <t>제철남초등학교</t>
        </is>
      </c>
      <c r="AB28" s="211" t="n"/>
      <c r="AC28" s="212" t="n"/>
      <c r="AD28" s="174" t="inlineStr">
        <is>
          <t>동백APT,소내</t>
        </is>
      </c>
      <c r="AE28" s="211" t="n"/>
      <c r="AF28" s="212" t="n"/>
      <c r="AG28" s="44" t="n"/>
      <c r="AH28" s="171" t="n"/>
      <c r="AI28" s="171" t="n"/>
      <c r="AJ28" s="44" t="n"/>
      <c r="AK28" s="171" t="n"/>
      <c r="AL28" s="171" t="n"/>
      <c r="AM28" s="44" t="n"/>
      <c r="AN28" s="171" t="n"/>
      <c r="AO28" s="171" t="n"/>
      <c r="AP28" s="44" t="n"/>
      <c r="AQ28" s="171" t="n"/>
      <c r="AR28" s="171" t="n"/>
      <c r="AS28" s="44" t="n"/>
      <c r="AT28" s="171" t="n"/>
      <c r="AU28" s="171" t="n"/>
      <c r="AV28" s="44" t="n"/>
      <c r="AW28" s="171" t="n"/>
      <c r="AX28" s="171" t="n"/>
      <c r="AY28" s="44" t="n"/>
      <c r="AZ28" s="171" t="n"/>
      <c r="BA28" s="171" t="n"/>
      <c r="BB28" s="44" t="n"/>
      <c r="BC28" s="171" t="n"/>
      <c r="BD28" s="171" t="n"/>
      <c r="BE28" s="171" t="n"/>
      <c r="BF28" s="44" t="n"/>
      <c r="BG28" s="171" t="n"/>
      <c r="BH28" s="171" t="n"/>
      <c r="BI28" s="171" t="n"/>
      <c r="BJ28" s="171" t="n"/>
      <c r="BK28" s="44" t="n"/>
      <c r="BL28" s="171" t="n"/>
      <c r="BM28" s="171" t="n"/>
      <c r="BN28" s="44" t="n"/>
      <c r="BO28" s="171" t="n"/>
      <c r="BP28" s="171" t="n"/>
      <c r="BQ28" s="44" t="n"/>
      <c r="BR28" s="171" t="n"/>
      <c r="BS28" s="171" t="n"/>
      <c r="BT28" s="44" t="n"/>
      <c r="BU28" s="171" t="n"/>
      <c r="BV28" s="171" t="n"/>
      <c r="BW28" s="44" t="n"/>
      <c r="BX28" s="171" t="n"/>
      <c r="BY28" s="171" t="n"/>
      <c r="BZ28" s="44" t="n"/>
      <c r="CA28" s="171" t="n"/>
      <c r="CB28" s="3" t="n"/>
      <c r="CD28" s="44" t="n"/>
      <c r="CF28" s="44" t="n"/>
      <c r="CH28" s="44" t="n"/>
      <c r="CK28" s="44" t="n"/>
      <c r="CN28" s="44" t="n"/>
      <c r="CP28" s="44" t="n"/>
      <c r="CR28" s="44" t="n"/>
      <c r="CS28" s="44" t="n"/>
    </row>
    <row r="29" ht="15.75" customHeight="1">
      <c r="A29" s="3" t="n"/>
      <c r="B29" s="213" t="n"/>
      <c r="C29" s="171" t="n"/>
      <c r="D29" s="44" t="n"/>
      <c r="E29" s="171" t="n"/>
      <c r="F29" s="138" t="inlineStr">
        <is>
          <t>전압</t>
        </is>
      </c>
      <c r="G29" s="138" t="inlineStr">
        <is>
          <t>전류</t>
        </is>
      </c>
      <c r="H29" s="138" t="inlineStr">
        <is>
          <t>전압</t>
        </is>
      </c>
      <c r="I29" s="138" t="inlineStr">
        <is>
          <t>유효</t>
        </is>
      </c>
      <c r="J29" s="138" t="inlineStr">
        <is>
          <t>역율</t>
        </is>
      </c>
      <c r="K29" s="138" t="inlineStr">
        <is>
          <t>전류</t>
        </is>
      </c>
      <c r="L29" s="138" t="inlineStr">
        <is>
          <t>무효</t>
        </is>
      </c>
      <c r="M29" s="138" t="inlineStr">
        <is>
          <t>주파수</t>
        </is>
      </c>
      <c r="N29" s="139" t="inlineStr">
        <is>
          <t>적산량×4800</t>
        </is>
      </c>
      <c r="O29" s="138" t="inlineStr">
        <is>
          <t>전력</t>
        </is>
      </c>
      <c r="P29" s="138" t="inlineStr">
        <is>
          <t>전류</t>
        </is>
      </c>
      <c r="Q29" s="139" t="inlineStr">
        <is>
          <t>적산량×3600</t>
        </is>
      </c>
      <c r="R29" s="138" t="inlineStr">
        <is>
          <t>전력</t>
        </is>
      </c>
      <c r="S29" s="138" t="inlineStr">
        <is>
          <t>전류</t>
        </is>
      </c>
      <c r="T29" s="139" t="inlineStr">
        <is>
          <t>적산량×1800</t>
        </is>
      </c>
      <c r="U29" s="138" t="inlineStr">
        <is>
          <t>전력</t>
        </is>
      </c>
      <c r="V29" s="138" t="inlineStr">
        <is>
          <t>전류</t>
        </is>
      </c>
      <c r="W29" s="139" t="inlineStr">
        <is>
          <t>적산량×1800</t>
        </is>
      </c>
      <c r="X29" s="138" t="inlineStr">
        <is>
          <t>전력</t>
        </is>
      </c>
      <c r="Y29" s="138" t="inlineStr">
        <is>
          <t>전류</t>
        </is>
      </c>
      <c r="Z29" s="139" t="inlineStr">
        <is>
          <t>적산량×2400</t>
        </is>
      </c>
      <c r="AA29" s="138" t="inlineStr">
        <is>
          <t>전력</t>
        </is>
      </c>
      <c r="AB29" s="138" t="inlineStr">
        <is>
          <t>전류</t>
        </is>
      </c>
      <c r="AC29" s="139" t="inlineStr">
        <is>
          <t>적산량×2400</t>
        </is>
      </c>
      <c r="AD29" s="138" t="inlineStr">
        <is>
          <t>전력</t>
        </is>
      </c>
      <c r="AE29" s="138" t="inlineStr">
        <is>
          <t>전류</t>
        </is>
      </c>
      <c r="AF29" s="140" t="inlineStr">
        <is>
          <t>적산량×1200</t>
        </is>
      </c>
      <c r="AG29" s="44" t="n"/>
      <c r="AH29" s="171" t="n"/>
      <c r="AI29" s="171" t="n"/>
      <c r="AJ29" s="44" t="n"/>
      <c r="AK29" s="171" t="n"/>
      <c r="AL29" s="171" t="n"/>
      <c r="AM29" s="44" t="n"/>
      <c r="AN29" s="171" t="n"/>
      <c r="AO29" s="171" t="n"/>
      <c r="AP29" s="44" t="n"/>
      <c r="AQ29" s="171" t="n"/>
      <c r="AR29" s="171" t="n"/>
      <c r="AS29" s="44" t="n"/>
      <c r="AT29" s="171" t="n"/>
      <c r="AU29" s="171" t="n"/>
      <c r="AV29" s="44" t="n"/>
      <c r="AW29" s="171" t="n"/>
      <c r="AX29" s="171" t="n"/>
      <c r="AY29" s="44" t="n"/>
      <c r="AZ29" s="171" t="n"/>
      <c r="BA29" s="171" t="n"/>
      <c r="BB29" s="44" t="n"/>
      <c r="BC29" s="171" t="n"/>
      <c r="BD29" s="171" t="n"/>
      <c r="BE29" s="171" t="n"/>
      <c r="BF29" s="44" t="n"/>
      <c r="BG29" s="171" t="n"/>
      <c r="BH29" s="171" t="n"/>
      <c r="BI29" s="171" t="n"/>
      <c r="BJ29" s="171" t="n"/>
      <c r="BK29" s="44" t="n"/>
      <c r="BL29" s="171" t="n"/>
      <c r="BM29" s="171" t="n"/>
      <c r="BN29" s="44" t="n"/>
      <c r="BO29" s="171" t="n"/>
      <c r="BP29" s="171" t="n"/>
      <c r="BQ29" s="44" t="n"/>
      <c r="BR29" s="171" t="n"/>
      <c r="BS29" s="171" t="n"/>
      <c r="BT29" s="44" t="n"/>
      <c r="BU29" s="171" t="n"/>
      <c r="BV29" s="171" t="n"/>
      <c r="BW29" s="44" t="n"/>
      <c r="BX29" s="171" t="n"/>
      <c r="BY29" s="171" t="n"/>
      <c r="BZ29" s="44" t="n"/>
      <c r="CA29" s="171" t="n"/>
      <c r="CB29" s="3" t="n"/>
      <c r="CD29" s="44" t="n"/>
      <c r="CF29" s="44" t="n"/>
      <c r="CH29" s="44" t="n"/>
      <c r="CK29" s="44" t="n"/>
      <c r="CN29" s="44" t="n"/>
      <c r="CP29" s="44" t="n"/>
      <c r="CR29" s="44" t="n"/>
      <c r="CS29" s="44" t="n"/>
    </row>
    <row r="30" ht="15.75" customHeight="1">
      <c r="A30" s="3" t="n"/>
      <c r="B30" s="213" t="n"/>
      <c r="C30" s="171" t="n"/>
      <c r="D30" s="44" t="n"/>
      <c r="E30" s="171" t="n"/>
      <c r="F30" s="136" t="inlineStr">
        <is>
          <t>kV</t>
        </is>
      </c>
      <c r="G30" s="136" t="inlineStr">
        <is>
          <t>A</t>
        </is>
      </c>
      <c r="H30" s="136" t="inlineStr">
        <is>
          <t>V</t>
        </is>
      </c>
      <c r="I30" s="136" t="inlineStr">
        <is>
          <t>kW</t>
        </is>
      </c>
      <c r="J30" s="136" t="inlineStr">
        <is>
          <t>cosθ</t>
        </is>
      </c>
      <c r="K30" s="136" t="inlineStr">
        <is>
          <t>A</t>
        </is>
      </c>
      <c r="L30" s="136" t="inlineStr">
        <is>
          <t>kVAR</t>
        </is>
      </c>
      <c r="M30" s="136" t="inlineStr">
        <is>
          <t>Hz</t>
        </is>
      </c>
      <c r="N30" s="136" t="inlineStr">
        <is>
          <t>전일 지침</t>
        </is>
      </c>
      <c r="O30" s="136" t="inlineStr">
        <is>
          <t>kW</t>
        </is>
      </c>
      <c r="P30" s="136" t="inlineStr">
        <is>
          <t>A</t>
        </is>
      </c>
      <c r="Q30" s="136" t="inlineStr">
        <is>
          <t>전일 지침</t>
        </is>
      </c>
      <c r="R30" s="136" t="inlineStr">
        <is>
          <t>kW</t>
        </is>
      </c>
      <c r="S30" s="136" t="inlineStr">
        <is>
          <t>A</t>
        </is>
      </c>
      <c r="T30" s="136" t="inlineStr">
        <is>
          <t>전일 지침</t>
        </is>
      </c>
      <c r="U30" s="136" t="inlineStr">
        <is>
          <t>kW</t>
        </is>
      </c>
      <c r="V30" s="136" t="inlineStr">
        <is>
          <t>A</t>
        </is>
      </c>
      <c r="W30" s="136" t="inlineStr">
        <is>
          <t>전일 지침</t>
        </is>
      </c>
      <c r="X30" s="136" t="inlineStr">
        <is>
          <t>kW</t>
        </is>
      </c>
      <c r="Y30" s="136" t="inlineStr">
        <is>
          <t>A</t>
        </is>
      </c>
      <c r="Z30" s="136" t="inlineStr">
        <is>
          <t>전일 지침</t>
        </is>
      </c>
      <c r="AA30" s="136" t="inlineStr">
        <is>
          <t>kW</t>
        </is>
      </c>
      <c r="AB30" s="136" t="inlineStr">
        <is>
          <t>A</t>
        </is>
      </c>
      <c r="AC30" s="136" t="inlineStr">
        <is>
          <t>전일 지침</t>
        </is>
      </c>
      <c r="AD30" s="136" t="inlineStr">
        <is>
          <t>kW</t>
        </is>
      </c>
      <c r="AE30" s="136" t="inlineStr">
        <is>
          <t>A</t>
        </is>
      </c>
      <c r="AF30" s="137" t="inlineStr">
        <is>
          <t>전일 지침</t>
        </is>
      </c>
      <c r="AG30" s="44" t="n"/>
      <c r="AH30" s="171" t="n"/>
      <c r="AI30" s="171" t="n"/>
      <c r="AJ30" s="44" t="n"/>
      <c r="AK30" s="171" t="n"/>
      <c r="AL30" s="171" t="n"/>
      <c r="AM30" s="44" t="n"/>
      <c r="AN30" s="171" t="n"/>
      <c r="AO30" s="171" t="n"/>
      <c r="AP30" s="44" t="n"/>
      <c r="AQ30" s="171" t="n"/>
      <c r="AR30" s="171" t="n"/>
      <c r="AS30" s="44" t="n"/>
      <c r="AT30" s="171" t="n"/>
      <c r="AU30" s="171" t="n"/>
      <c r="AV30" s="44" t="n"/>
      <c r="AW30" s="171" t="n"/>
      <c r="AX30" s="171" t="n"/>
      <c r="AY30" s="44" t="n"/>
      <c r="AZ30" s="171" t="n"/>
      <c r="BA30" s="171" t="n"/>
      <c r="BB30" s="44" t="n"/>
      <c r="BC30" s="171" t="n"/>
      <c r="BD30" s="171" t="n"/>
      <c r="BE30" s="171" t="n"/>
      <c r="BF30" s="44" t="n"/>
      <c r="BG30" s="171" t="n"/>
      <c r="BH30" s="171" t="n"/>
      <c r="BI30" s="171" t="n"/>
      <c r="BJ30" s="171" t="n"/>
      <c r="BK30" s="44" t="n"/>
      <c r="BL30" s="171" t="n"/>
      <c r="BM30" s="171" t="n"/>
      <c r="BN30" s="44" t="n"/>
      <c r="BO30" s="171" t="n"/>
      <c r="BP30" s="171" t="n"/>
      <c r="BQ30" s="44" t="n"/>
      <c r="BR30" s="171" t="n"/>
      <c r="BS30" s="171" t="n"/>
      <c r="BT30" s="44" t="n"/>
      <c r="BU30" s="171" t="n"/>
      <c r="BV30" s="171" t="n"/>
      <c r="BW30" s="44" t="n"/>
      <c r="BX30" s="171" t="n"/>
      <c r="BY30" s="171" t="n"/>
      <c r="BZ30" s="44" t="n"/>
      <c r="CA30" s="171" t="n"/>
      <c r="CB30" s="3" t="n"/>
      <c r="CD30" s="44" t="n"/>
      <c r="CF30" s="44" t="n"/>
      <c r="CH30" s="44" t="n"/>
      <c r="CK30" s="44" t="n"/>
      <c r="CN30" s="44" t="n"/>
      <c r="CP30" s="44" t="n"/>
      <c r="CR30" s="44" t="n"/>
      <c r="CS30" s="44" t="n"/>
    </row>
    <row r="31" ht="15.75" customHeight="1">
      <c r="A31" s="3" t="n"/>
      <c r="B31" s="214" t="n"/>
      <c r="C31" s="171" t="n"/>
      <c r="D31" s="44" t="n"/>
      <c r="E31" s="171" t="n"/>
      <c r="F31" s="145" t="inlineStr">
        <is>
          <t>21.0~23.9</t>
        </is>
      </c>
      <c r="G31" s="145" t="inlineStr">
        <is>
          <t>0~105</t>
        </is>
      </c>
      <c r="H31" s="145" t="inlineStr">
        <is>
          <t>6300~7200</t>
        </is>
      </c>
      <c r="I31" s="145" t="inlineStr">
        <is>
          <t>0~4800</t>
        </is>
      </c>
      <c r="J31" s="145" t="inlineStr">
        <is>
          <t>0.9±0.1</t>
        </is>
      </c>
      <c r="K31" s="145" t="inlineStr">
        <is>
          <t>0~350</t>
        </is>
      </c>
      <c r="L31" s="145" t="inlineStr">
        <is>
          <t>0~4800</t>
        </is>
      </c>
      <c r="M31" s="145" t="inlineStr">
        <is>
          <t>59.5~60.5</t>
        </is>
      </c>
      <c r="N31" s="145" t="n"/>
      <c r="O31" s="145" t="inlineStr">
        <is>
          <t>0~3600</t>
        </is>
      </c>
      <c r="P31" s="145" t="n">
        <v>320</v>
      </c>
      <c r="Q31" s="145" t="n"/>
      <c r="R31" s="145" t="inlineStr">
        <is>
          <t>0~1800</t>
        </is>
      </c>
      <c r="S31" s="145" t="n">
        <v>150</v>
      </c>
      <c r="T31" s="145" t="n"/>
      <c r="U31" s="145" t="inlineStr">
        <is>
          <t>0~1800</t>
        </is>
      </c>
      <c r="V31" s="145" t="inlineStr">
        <is>
          <t>0~150</t>
        </is>
      </c>
      <c r="W31" s="145" t="n"/>
      <c r="X31" s="145" t="inlineStr">
        <is>
          <t>0~2400</t>
        </is>
      </c>
      <c r="Y31" s="145" t="inlineStr">
        <is>
          <t>0~200</t>
        </is>
      </c>
      <c r="Z31" s="145" t="n"/>
      <c r="AA31" s="145" t="inlineStr">
        <is>
          <t>0~2400</t>
        </is>
      </c>
      <c r="AB31" s="145" t="inlineStr">
        <is>
          <t>0~200</t>
        </is>
      </c>
      <c r="AC31" s="145" t="n"/>
      <c r="AD31" s="145" t="inlineStr">
        <is>
          <t>0~1200</t>
        </is>
      </c>
      <c r="AE31" s="145" t="inlineStr">
        <is>
          <t>0~100</t>
        </is>
      </c>
      <c r="AF31" s="146" t="n"/>
      <c r="AG31" s="44" t="n"/>
      <c r="AH31" s="171" t="n"/>
      <c r="AI31" s="171" t="n"/>
      <c r="AJ31" s="44" t="n"/>
      <c r="AK31" s="171" t="n"/>
      <c r="AL31" s="171" t="n"/>
      <c r="AM31" s="44" t="n"/>
      <c r="AN31" s="171" t="n"/>
      <c r="AO31" s="171" t="n"/>
      <c r="AP31" s="44" t="n"/>
      <c r="AQ31" s="171" t="n"/>
      <c r="AR31" s="171" t="n"/>
      <c r="AS31" s="44" t="n"/>
      <c r="AT31" s="171" t="n"/>
      <c r="AU31" s="171" t="n"/>
      <c r="AV31" s="44" t="n"/>
      <c r="AW31" s="171" t="n"/>
      <c r="AX31" s="171" t="n"/>
      <c r="AY31" s="44" t="n"/>
      <c r="AZ31" s="171" t="n"/>
      <c r="BA31" s="171" t="n"/>
      <c r="BB31" s="44" t="n"/>
      <c r="BC31" s="171" t="n"/>
      <c r="BD31" s="171" t="n"/>
      <c r="BE31" s="171" t="n"/>
      <c r="BF31" s="44" t="n"/>
      <c r="BG31" s="171" t="n"/>
      <c r="BH31" s="171" t="n"/>
      <c r="BI31" s="171" t="n"/>
      <c r="BJ31" s="171" t="n"/>
      <c r="BK31" s="44" t="n"/>
      <c r="BL31" s="171" t="n"/>
      <c r="BM31" s="171" t="n"/>
      <c r="BN31" s="44" t="n"/>
      <c r="BO31" s="171" t="n"/>
      <c r="BP31" s="171" t="n"/>
      <c r="BQ31" s="44" t="n"/>
      <c r="BR31" s="171" t="n"/>
      <c r="BS31" s="171" t="n"/>
      <c r="BT31" s="44" t="n"/>
      <c r="BU31" s="171" t="n"/>
      <c r="BV31" s="171" t="n"/>
      <c r="BW31" s="44" t="n"/>
      <c r="BX31" s="171" t="n"/>
      <c r="BY31" s="171" t="n"/>
      <c r="BZ31" s="44" t="n"/>
      <c r="CA31" s="171" t="n"/>
      <c r="CB31" s="3" t="n"/>
      <c r="CD31" s="44" t="n"/>
      <c r="CF31" s="44" t="n"/>
      <c r="CH31" s="44" t="n"/>
      <c r="CK31" s="44" t="n"/>
      <c r="CN31" s="44" t="n"/>
      <c r="CP31" s="44" t="n"/>
      <c r="CR31" s="44" t="n"/>
      <c r="CS31" s="44" t="n"/>
    </row>
    <row r="32" ht="15.75" customHeight="1">
      <c r="A32" s="3" t="n"/>
      <c r="B32" s="152" t="n">
        <v>0.25</v>
      </c>
      <c r="C32" s="171" t="n"/>
      <c r="D32" s="44" t="n"/>
      <c r="E32" s="171" t="n"/>
      <c r="F32" s="136" t="n"/>
      <c r="G32" s="136" t="n"/>
      <c r="H32" s="136" t="n"/>
      <c r="I32" s="136" t="n"/>
      <c r="J32" s="136" t="n"/>
      <c r="K32" s="136" t="n"/>
      <c r="L32" s="136" t="n"/>
      <c r="M32" s="136" t="n"/>
      <c r="N32" s="136" t="n"/>
      <c r="O32" s="136" t="n"/>
      <c r="P32" s="136" t="n"/>
      <c r="Q32" s="136" t="n"/>
      <c r="R32" s="136" t="n"/>
      <c r="S32" s="136" t="n"/>
      <c r="T32" s="136">
        <f t="array" ref="T32">+B15:AJ32</f>
        <v/>
      </c>
      <c r="U32" s="136" t="n"/>
      <c r="V32" s="136" t="n"/>
      <c r="W32" s="136" t="n"/>
      <c r="X32" s="136" t="n"/>
      <c r="Y32" s="136" t="n"/>
      <c r="Z32" s="136" t="n"/>
      <c r="AA32" s="136" t="n"/>
      <c r="AB32" s="136" t="n"/>
      <c r="AC32" s="136" t="n"/>
      <c r="AD32" s="136" t="n"/>
      <c r="AE32" s="136" t="n"/>
      <c r="AF32" s="137" t="n"/>
      <c r="AG32" s="44" t="n"/>
      <c r="AH32" s="171" t="n"/>
      <c r="AI32" s="171" t="n"/>
      <c r="AJ32" s="44" t="n"/>
      <c r="AK32" s="171" t="n"/>
      <c r="AL32" s="171" t="n"/>
      <c r="AM32" s="44" t="n"/>
      <c r="AN32" s="171" t="n"/>
      <c r="AO32" s="171" t="n"/>
      <c r="AP32" s="44" t="n"/>
      <c r="AQ32" s="171" t="n"/>
      <c r="AR32" s="171" t="n"/>
      <c r="AS32" s="44" t="n"/>
      <c r="AT32" s="171" t="n"/>
      <c r="AU32" s="171" t="n"/>
      <c r="AV32" s="44" t="n"/>
      <c r="AW32" s="171" t="n"/>
      <c r="AX32" s="171" t="n"/>
      <c r="AY32" s="44" t="n"/>
      <c r="AZ32" s="171" t="n"/>
      <c r="BA32" s="171" t="n"/>
      <c r="BB32" s="44" t="n"/>
      <c r="BC32" s="171" t="n"/>
      <c r="BD32" s="171" t="n"/>
      <c r="BE32" s="171" t="n"/>
      <c r="BF32" s="44" t="n"/>
      <c r="BG32" s="171" t="n"/>
      <c r="BH32" s="171" t="n"/>
      <c r="BI32" s="171" t="n"/>
      <c r="BJ32" s="171" t="n"/>
      <c r="BK32" s="44" t="n"/>
      <c r="BL32" s="171" t="n"/>
      <c r="BM32" s="171" t="n"/>
      <c r="BN32" s="44" t="n"/>
      <c r="BO32" s="171" t="n"/>
      <c r="BP32" s="171" t="n"/>
      <c r="BQ32" s="44" t="n"/>
      <c r="BR32" s="171" t="n"/>
      <c r="BS32" s="171" t="n"/>
      <c r="BT32" s="44" t="n"/>
      <c r="BU32" s="171" t="n"/>
      <c r="BV32" s="171" t="n"/>
      <c r="BW32" s="44" t="n"/>
      <c r="BX32" s="171" t="n"/>
      <c r="BY32" s="171" t="n"/>
      <c r="BZ32" s="44" t="n"/>
      <c r="CA32" s="171" t="n"/>
      <c r="CB32" s="3" t="n"/>
      <c r="CD32" s="44" t="n"/>
      <c r="CF32" s="44" t="n"/>
      <c r="CH32" s="44" t="n"/>
      <c r="CK32" s="44" t="n"/>
      <c r="CN32" s="44" t="n"/>
      <c r="CP32" s="44" t="n"/>
      <c r="CR32" s="44" t="n"/>
      <c r="CS32" s="44" t="n"/>
    </row>
    <row r="33" ht="15.75" customHeight="1">
      <c r="A33" s="3" t="n"/>
      <c r="B33" s="147" t="n">
        <v>0.4166666666666667</v>
      </c>
      <c r="C33" s="171" t="n"/>
      <c r="D33" s="44" t="n"/>
      <c r="E33" s="171" t="n"/>
      <c r="F33" s="136" t="n"/>
      <c r="G33" s="136" t="n"/>
      <c r="H33" s="136" t="n"/>
      <c r="I33" s="136" t="n"/>
      <c r="J33" s="136" t="n"/>
      <c r="K33" s="136" t="n"/>
      <c r="L33" s="136" t="n"/>
      <c r="M33" s="136" t="n"/>
      <c r="N33" s="136" t="n"/>
      <c r="O33" s="136" t="n"/>
      <c r="P33" s="136" t="n"/>
      <c r="Q33" s="136" t="n"/>
      <c r="R33" s="136" t="n"/>
      <c r="S33" s="136" t="n"/>
      <c r="T33" s="136" t="n"/>
      <c r="U33" s="136" t="n"/>
      <c r="V33" s="136" t="n"/>
      <c r="W33" s="136" t="n"/>
      <c r="X33" s="136" t="n"/>
      <c r="Y33" s="136" t="n"/>
      <c r="Z33" s="136" t="n"/>
      <c r="AA33" s="136" t="n"/>
      <c r="AB33" s="136" t="n"/>
      <c r="AC33" s="136" t="n"/>
      <c r="AD33" s="136" t="n"/>
      <c r="AE33" s="136" t="n"/>
      <c r="AF33" s="137" t="n"/>
      <c r="AG33" s="44" t="n"/>
      <c r="AH33" s="171" t="n"/>
      <c r="AI33" s="171" t="n"/>
      <c r="AJ33" s="44" t="n"/>
      <c r="AK33" s="171" t="n"/>
      <c r="AL33" s="171" t="n"/>
      <c r="AM33" s="44" t="n"/>
      <c r="AN33" s="171" t="n"/>
      <c r="AO33" s="171" t="n"/>
      <c r="AP33" s="44" t="n"/>
      <c r="AQ33" s="171" t="n"/>
      <c r="AR33" s="171" t="n"/>
      <c r="AS33" s="44" t="n"/>
      <c r="AT33" s="171" t="n"/>
      <c r="AU33" s="171" t="n"/>
      <c r="AV33" s="44" t="n"/>
      <c r="AW33" s="171" t="n"/>
      <c r="AX33" s="171" t="n"/>
      <c r="AY33" s="44" t="n"/>
      <c r="AZ33" s="171" t="n"/>
      <c r="BA33" s="171" t="n"/>
      <c r="BB33" s="44" t="n"/>
      <c r="BC33" s="171" t="n"/>
      <c r="BD33" s="171" t="n"/>
      <c r="BE33" s="171" t="n"/>
      <c r="BF33" s="44" t="n"/>
      <c r="BG33" s="171" t="n"/>
      <c r="BH33" s="171" t="n"/>
      <c r="BI33" s="171" t="n"/>
      <c r="BJ33" s="171" t="n"/>
      <c r="BK33" s="44" t="n"/>
      <c r="BL33" s="171" t="n"/>
      <c r="BM33" s="171" t="n"/>
      <c r="BN33" s="44" t="n"/>
      <c r="BO33" s="171" t="n"/>
      <c r="BP33" s="171" t="n"/>
      <c r="BQ33" s="44" t="n"/>
      <c r="BR33" s="171" t="n"/>
      <c r="BS33" s="171" t="n"/>
      <c r="BT33" s="44" t="n"/>
      <c r="BU33" s="171" t="n"/>
      <c r="BV33" s="171" t="n"/>
      <c r="BW33" s="44" t="n"/>
      <c r="BX33" s="171" t="n"/>
      <c r="BY33" s="171" t="n"/>
      <c r="BZ33" s="44" t="n"/>
      <c r="CA33" s="171" t="n"/>
      <c r="CB33" s="3" t="n"/>
      <c r="CD33" s="44" t="n"/>
      <c r="CF33" s="44" t="n"/>
      <c r="CH33" s="44" t="n"/>
      <c r="CK33" s="44" t="n"/>
      <c r="CN33" s="44" t="n"/>
      <c r="CP33" s="44" t="n"/>
      <c r="CR33" s="44" t="n"/>
      <c r="CS33" s="44" t="n"/>
    </row>
    <row r="34" ht="15.75" customHeight="1">
      <c r="A34" s="3" t="n"/>
      <c r="B34" s="147" t="n">
        <v>0.5833333333333334</v>
      </c>
      <c r="C34" s="171" t="n"/>
      <c r="D34" s="44" t="n"/>
      <c r="E34" s="171" t="n"/>
      <c r="F34" s="136" t="n"/>
      <c r="G34" s="136" t="n"/>
      <c r="H34" s="136" t="n"/>
      <c r="I34" s="136" t="n"/>
      <c r="J34" s="136" t="n"/>
      <c r="K34" s="136" t="n"/>
      <c r="L34" s="136" t="n"/>
      <c r="M34" s="136" t="n"/>
      <c r="N34" s="136" t="n"/>
      <c r="O34" s="136" t="n"/>
      <c r="P34" s="136" t="n"/>
      <c r="Q34" s="136" t="n"/>
      <c r="R34" s="136" t="n"/>
      <c r="S34" s="136" t="n"/>
      <c r="T34" s="136" t="n"/>
      <c r="U34" s="136" t="n"/>
      <c r="V34" s="136" t="n"/>
      <c r="W34" s="136" t="n"/>
      <c r="X34" s="136" t="n"/>
      <c r="Y34" s="136" t="n"/>
      <c r="Z34" s="136" t="n"/>
      <c r="AA34" s="136" t="n"/>
      <c r="AB34" s="136" t="n"/>
      <c r="AC34" s="136" t="n"/>
      <c r="AD34" s="136" t="n"/>
      <c r="AE34" s="136" t="n"/>
      <c r="AF34" s="137" t="n"/>
      <c r="AG34" s="44" t="n"/>
      <c r="AH34" s="171" t="n"/>
      <c r="AI34" s="171" t="n"/>
      <c r="AJ34" s="44" t="n"/>
      <c r="AK34" s="171" t="n"/>
      <c r="AL34" s="171" t="n"/>
      <c r="AM34" s="44" t="n"/>
      <c r="AN34" s="171" t="n"/>
      <c r="AO34" s="171" t="n"/>
      <c r="AP34" s="44" t="n"/>
      <c r="AQ34" s="171" t="n"/>
      <c r="AR34" s="171" t="n"/>
      <c r="AS34" s="44" t="n"/>
      <c r="AT34" s="171" t="n"/>
      <c r="AU34" s="171" t="n"/>
      <c r="AV34" s="44" t="n"/>
      <c r="AW34" s="171" t="n"/>
      <c r="AX34" s="171" t="n"/>
      <c r="AY34" s="44" t="n"/>
      <c r="AZ34" s="171" t="n"/>
      <c r="BA34" s="171" t="n"/>
      <c r="BB34" s="44" t="n"/>
      <c r="BC34" s="171" t="n"/>
      <c r="BD34" s="171" t="n"/>
      <c r="BE34" s="171" t="n"/>
      <c r="BF34" s="44" t="n"/>
      <c r="BG34" s="171" t="n"/>
      <c r="BH34" s="171" t="n"/>
      <c r="BI34" s="171" t="n"/>
      <c r="BJ34" s="171" t="n"/>
      <c r="BK34" s="44" t="n"/>
      <c r="BL34" s="171" t="n"/>
      <c r="BM34" s="171" t="n"/>
      <c r="BN34" s="44" t="n"/>
      <c r="BO34" s="171" t="n"/>
      <c r="BP34" s="171" t="n"/>
      <c r="BQ34" s="44" t="n"/>
      <c r="BR34" s="171" t="n"/>
      <c r="BS34" s="171" t="n"/>
      <c r="BT34" s="44" t="n"/>
      <c r="BU34" s="171" t="n"/>
      <c r="BV34" s="171" t="n"/>
      <c r="BW34" s="44" t="n"/>
      <c r="BX34" s="171" t="n"/>
      <c r="BY34" s="171" t="n"/>
      <c r="BZ34" s="44" t="n"/>
      <c r="CA34" s="171" t="n"/>
      <c r="CB34" s="3" t="n"/>
      <c r="CD34" s="44" t="n"/>
      <c r="CF34" s="44" t="n"/>
      <c r="CH34" s="44" t="n"/>
      <c r="CK34" s="44" t="n"/>
      <c r="CN34" s="44" t="n"/>
      <c r="CP34" s="44" t="n"/>
      <c r="CR34" s="44" t="n"/>
      <c r="CS34" s="44" t="n"/>
    </row>
    <row r="35" ht="15.75" customHeight="1">
      <c r="A35" s="3" t="n"/>
      <c r="B35" s="147" t="n">
        <v>0.7083333333333334</v>
      </c>
      <c r="C35" s="171" t="n"/>
      <c r="D35" s="44" t="n"/>
      <c r="E35" s="171" t="n"/>
      <c r="F35" s="136" t="n"/>
      <c r="G35" s="136" t="n"/>
      <c r="H35" s="136" t="n"/>
      <c r="I35" s="136" t="n"/>
      <c r="J35" s="136" t="n"/>
      <c r="K35" s="136" t="n"/>
      <c r="L35" s="136" t="n"/>
      <c r="M35" s="136" t="n"/>
      <c r="N35" s="136" t="n"/>
      <c r="O35" s="136" t="n"/>
      <c r="P35" s="136" t="n"/>
      <c r="Q35" s="136" t="n"/>
      <c r="R35" s="136" t="n"/>
      <c r="S35" s="136" t="n"/>
      <c r="T35" s="136" t="n"/>
      <c r="U35" s="136" t="n"/>
      <c r="V35" s="136" t="n"/>
      <c r="W35" s="136" t="n"/>
      <c r="X35" s="136" t="n"/>
      <c r="Y35" s="136" t="n"/>
      <c r="Z35" s="136" t="n"/>
      <c r="AA35" s="136" t="n"/>
      <c r="AB35" s="136" t="n"/>
      <c r="AC35" s="136" t="n"/>
      <c r="AD35" s="136" t="n"/>
      <c r="AE35" s="136" t="n"/>
      <c r="AF35" s="137" t="n"/>
      <c r="AG35" s="44" t="n"/>
      <c r="AH35" s="171" t="n"/>
      <c r="AI35" s="171" t="n"/>
      <c r="AJ35" s="44" t="n"/>
      <c r="AK35" s="171" t="n"/>
      <c r="AL35" s="171" t="n"/>
      <c r="AM35" s="44" t="n"/>
      <c r="AN35" s="171" t="n"/>
      <c r="AO35" s="171" t="n"/>
      <c r="AP35" s="44" t="n"/>
      <c r="AQ35" s="171" t="n"/>
      <c r="AR35" s="171" t="n"/>
      <c r="AS35" s="44" t="n"/>
      <c r="AT35" s="171" t="n"/>
      <c r="AU35" s="171" t="n"/>
      <c r="AV35" s="44" t="n"/>
      <c r="AW35" s="171" t="n"/>
      <c r="AX35" s="171" t="n"/>
      <c r="AY35" s="44" t="n"/>
      <c r="AZ35" s="171" t="n"/>
      <c r="BA35" s="171" t="n"/>
      <c r="BB35" s="44" t="n"/>
      <c r="BC35" s="171" t="n"/>
      <c r="BD35" s="171" t="n"/>
      <c r="BE35" s="171" t="n"/>
      <c r="BF35" s="44" t="n"/>
      <c r="BG35" s="171" t="n"/>
      <c r="BH35" s="171" t="n"/>
      <c r="BI35" s="171" t="n"/>
      <c r="BJ35" s="171" t="n"/>
      <c r="BK35" s="44" t="n"/>
      <c r="BL35" s="171" t="n"/>
      <c r="BM35" s="171" t="n"/>
      <c r="BN35" s="44" t="n"/>
      <c r="BO35" s="171" t="n"/>
      <c r="BP35" s="171" t="n"/>
      <c r="BQ35" s="44" t="n"/>
      <c r="BR35" s="171" t="n"/>
      <c r="BS35" s="171" t="n"/>
      <c r="BT35" s="44" t="n"/>
      <c r="BU35" s="171" t="n"/>
      <c r="BV35" s="171" t="n"/>
      <c r="BW35" s="44" t="n"/>
      <c r="BX35" s="171" t="n"/>
      <c r="BY35" s="171" t="n"/>
      <c r="BZ35" s="44" t="n"/>
      <c r="CA35" s="171" t="n"/>
      <c r="CB35" s="3" t="n"/>
      <c r="CD35" s="44" t="n"/>
      <c r="CF35" s="44" t="n"/>
      <c r="CH35" s="44" t="n"/>
      <c r="CK35" s="44" t="n"/>
      <c r="CN35" s="44" t="n"/>
      <c r="CP35" s="44" t="n"/>
      <c r="CR35" s="44" t="n"/>
      <c r="CS35" s="44" t="n"/>
    </row>
    <row r="36" ht="15.75" customHeight="1">
      <c r="A36" s="3" t="n"/>
      <c r="B36" s="147" t="n">
        <v>0.8333333333333334</v>
      </c>
      <c r="C36" s="171" t="n"/>
      <c r="D36" s="44" t="n"/>
      <c r="E36" s="171" t="n"/>
      <c r="F36" s="136" t="n"/>
      <c r="G36" s="136" t="n"/>
      <c r="H36" s="136" t="n"/>
      <c r="I36" s="136" t="n"/>
      <c r="J36" s="136" t="n"/>
      <c r="K36" s="136" t="n"/>
      <c r="L36" s="136" t="n"/>
      <c r="M36" s="136" t="n"/>
      <c r="N36" s="136" t="n"/>
      <c r="O36" s="136" t="n"/>
      <c r="P36" s="136" t="n"/>
      <c r="Q36" s="136" t="n"/>
      <c r="R36" s="136" t="n"/>
      <c r="S36" s="136" t="n"/>
      <c r="T36" s="136" t="n"/>
      <c r="U36" s="136" t="n"/>
      <c r="V36" s="136" t="n"/>
      <c r="W36" s="136" t="n"/>
      <c r="X36" s="136" t="n"/>
      <c r="Y36" s="136" t="n"/>
      <c r="Z36" s="136" t="n"/>
      <c r="AA36" s="136" t="n"/>
      <c r="AB36" s="136" t="n"/>
      <c r="AC36" s="136" t="n"/>
      <c r="AD36" s="136" t="n"/>
      <c r="AE36" s="136" t="n"/>
      <c r="AF36" s="137" t="n"/>
      <c r="AG36" s="44" t="n"/>
      <c r="AH36" s="171" t="n"/>
      <c r="AI36" s="171" t="n"/>
      <c r="AJ36" s="44" t="n"/>
      <c r="AK36" s="171" t="n"/>
      <c r="AL36" s="171" t="n"/>
      <c r="AM36" s="44" t="n"/>
      <c r="AN36" s="171" t="n"/>
      <c r="AO36" s="171" t="n"/>
      <c r="AP36" s="44" t="n"/>
      <c r="AQ36" s="171" t="n"/>
      <c r="AR36" s="171" t="n"/>
      <c r="AS36" s="44" t="n"/>
      <c r="AT36" s="171" t="n"/>
      <c r="AU36" s="171" t="n"/>
      <c r="AV36" s="44" t="n"/>
      <c r="AW36" s="171" t="n"/>
      <c r="AX36" s="171" t="n"/>
      <c r="AY36" s="44" t="n"/>
      <c r="AZ36" s="171" t="n"/>
      <c r="BA36" s="171" t="n"/>
      <c r="BB36" s="44" t="n"/>
      <c r="BC36" s="171" t="n"/>
      <c r="BD36" s="171" t="n"/>
      <c r="BE36" s="171" t="n"/>
      <c r="BF36" s="44" t="n"/>
      <c r="BG36" s="171" t="n"/>
      <c r="BH36" s="171" t="n"/>
      <c r="BI36" s="171" t="n"/>
      <c r="BJ36" s="171" t="n"/>
      <c r="BK36" s="44" t="n"/>
      <c r="BL36" s="171" t="n"/>
      <c r="BM36" s="171" t="n"/>
      <c r="BN36" s="44" t="n"/>
      <c r="BO36" s="171" t="n"/>
      <c r="BP36" s="171" t="n"/>
      <c r="BQ36" s="44" t="n"/>
      <c r="BR36" s="171" t="n"/>
      <c r="BS36" s="171" t="n"/>
      <c r="BT36" s="44" t="n"/>
      <c r="BU36" s="171" t="n"/>
      <c r="BV36" s="171" t="n"/>
      <c r="BW36" s="44" t="n"/>
      <c r="BX36" s="171" t="n"/>
      <c r="BY36" s="171" t="n"/>
      <c r="BZ36" s="44" t="n"/>
      <c r="CA36" s="171" t="n"/>
      <c r="CB36" s="3" t="n"/>
      <c r="CD36" s="44" t="n"/>
      <c r="CF36" s="44" t="n"/>
      <c r="CH36" s="44" t="n"/>
      <c r="CK36" s="44" t="n"/>
      <c r="CN36" s="44" t="n"/>
      <c r="CP36" s="44" t="n"/>
      <c r="CR36" s="44" t="n"/>
      <c r="CS36" s="44" t="n"/>
    </row>
    <row r="37" ht="15.75" customHeight="1">
      <c r="A37" s="3" t="n"/>
      <c r="B37" s="147" t="n">
        <v>0.9166666666666666</v>
      </c>
      <c r="C37" s="171" t="n"/>
      <c r="D37" s="44" t="n"/>
      <c r="E37" s="171" t="n"/>
      <c r="F37" s="137" t="n"/>
      <c r="G37" s="137" t="n"/>
      <c r="H37" s="137" t="n"/>
      <c r="I37" s="137" t="n"/>
      <c r="J37" s="137" t="n"/>
      <c r="K37" s="137" t="n"/>
      <c r="L37" s="137" t="n"/>
      <c r="M37" s="137" t="n"/>
      <c r="N37" s="137" t="n"/>
      <c r="O37" s="137" t="n"/>
      <c r="P37" s="137" t="n"/>
      <c r="Q37" s="137" t="n"/>
      <c r="R37" s="137" t="n"/>
      <c r="S37" s="137" t="n"/>
      <c r="T37" s="137" t="n"/>
      <c r="U37" s="137" t="n"/>
      <c r="V37" s="137" t="n"/>
      <c r="W37" s="137" t="n"/>
      <c r="X37" s="137" t="n"/>
      <c r="Y37" s="137" t="n"/>
      <c r="Z37" s="137" t="n"/>
      <c r="AA37" s="137" t="n"/>
      <c r="AB37" s="137" t="n"/>
      <c r="AC37" s="137" t="n"/>
      <c r="AD37" s="137" t="n"/>
      <c r="AE37" s="137" t="n"/>
      <c r="AF37" s="137" t="n"/>
      <c r="AG37" s="44" t="n"/>
      <c r="AH37" s="171" t="n"/>
      <c r="AI37" s="171" t="n"/>
      <c r="AJ37" s="44" t="n"/>
      <c r="AK37" s="171" t="n"/>
      <c r="AL37" s="171" t="n"/>
      <c r="AM37" s="44" t="n"/>
      <c r="AN37" s="171" t="n"/>
      <c r="AO37" s="171" t="n"/>
      <c r="AP37" s="44" t="n"/>
      <c r="AQ37" s="171" t="n"/>
      <c r="AR37" s="171" t="n"/>
      <c r="AS37" s="44" t="n"/>
      <c r="AT37" s="171" t="n"/>
      <c r="AU37" s="171" t="n"/>
      <c r="AV37" s="44" t="n"/>
      <c r="AW37" s="171" t="n"/>
      <c r="AX37" s="171" t="n"/>
      <c r="AY37" s="44" t="n"/>
      <c r="AZ37" s="171" t="n"/>
      <c r="BA37" s="171" t="n"/>
      <c r="BB37" s="44" t="n"/>
      <c r="BC37" s="171" t="n"/>
      <c r="BD37" s="171" t="n"/>
      <c r="BE37" s="171" t="n"/>
      <c r="BF37" s="44" t="n"/>
      <c r="BG37" s="171" t="n"/>
      <c r="BH37" s="171" t="n"/>
      <c r="BI37" s="171" t="n"/>
      <c r="BJ37" s="171" t="n"/>
      <c r="BK37" s="44" t="n"/>
      <c r="BL37" s="171" t="n"/>
      <c r="BM37" s="171" t="n"/>
      <c r="BN37" s="44" t="n"/>
      <c r="BO37" s="171" t="n"/>
      <c r="BP37" s="171" t="n"/>
      <c r="BQ37" s="44" t="n"/>
      <c r="BR37" s="171" t="n"/>
      <c r="BS37" s="171" t="n"/>
      <c r="BT37" s="44" t="n"/>
      <c r="BU37" s="171" t="n"/>
      <c r="BV37" s="171" t="n"/>
      <c r="BW37" s="44" t="n"/>
      <c r="BX37" s="171" t="n"/>
      <c r="BY37" s="171" t="n"/>
      <c r="BZ37" s="44" t="n"/>
      <c r="CA37" s="171" t="n"/>
      <c r="CB37" s="3" t="n"/>
      <c r="CD37" s="44" t="n"/>
      <c r="CF37" s="44" t="n"/>
      <c r="CH37" s="44" t="n"/>
      <c r="CK37" s="44" t="n"/>
      <c r="CN37" s="44" t="n"/>
      <c r="CP37" s="44" t="n"/>
      <c r="CR37" s="44" t="n"/>
      <c r="CS37" s="44" t="n"/>
    </row>
    <row r="38" ht="32.25" customHeight="1">
      <c r="A38" s="3" t="n"/>
      <c r="B38" s="171" t="n"/>
      <c r="C38" s="171" t="n"/>
      <c r="D38" s="44" t="n"/>
      <c r="E38" s="171" t="n"/>
      <c r="F38" s="150" t="n"/>
      <c r="G38" s="171" t="n"/>
      <c r="H38" s="171" t="n"/>
      <c r="I38" s="44" t="n"/>
      <c r="J38" s="171" t="n"/>
      <c r="K38" s="171" t="n"/>
      <c r="L38" s="171" t="n"/>
      <c r="M38" s="171" t="n"/>
      <c r="N38" s="44" t="n"/>
      <c r="O38" s="171" t="n"/>
      <c r="P38" s="171" t="n"/>
      <c r="Q38" s="44" t="n"/>
      <c r="R38" s="171" t="n"/>
      <c r="S38" s="171" t="n"/>
      <c r="T38" s="44" t="n"/>
      <c r="U38" s="171" t="n"/>
      <c r="V38" s="171" t="n"/>
      <c r="W38" s="171" t="n"/>
      <c r="X38" s="171" t="n"/>
      <c r="Y38" s="44" t="n"/>
      <c r="Z38" s="171" t="n"/>
      <c r="AA38" s="171" t="n"/>
      <c r="AB38" s="171" t="n"/>
      <c r="AC38" s="171" t="n"/>
      <c r="AD38" s="44" t="n"/>
      <c r="AE38" s="171" t="n"/>
      <c r="AF38" s="171" t="n"/>
      <c r="AG38" s="44" t="n"/>
      <c r="AH38" s="171" t="n"/>
      <c r="AI38" s="171" t="n"/>
      <c r="AJ38" s="44" t="n"/>
      <c r="AK38" s="171" t="n"/>
      <c r="AL38" s="171" t="n"/>
      <c r="AM38" s="44" t="n"/>
      <c r="AN38" s="171" t="n"/>
      <c r="AO38" s="171" t="n"/>
      <c r="AP38" s="44" t="n"/>
      <c r="AQ38" s="171" t="n"/>
      <c r="AR38" s="171" t="n"/>
      <c r="AS38" s="44" t="n"/>
      <c r="AT38" s="171" t="n"/>
      <c r="AU38" s="171" t="n"/>
      <c r="AV38" s="44" t="n"/>
      <c r="AW38" s="171" t="n"/>
      <c r="AX38" s="171" t="n"/>
      <c r="AY38" s="44" t="n"/>
      <c r="AZ38" s="171" t="n"/>
      <c r="BA38" s="171" t="n"/>
      <c r="BB38" s="44" t="n"/>
      <c r="BC38" s="171" t="n"/>
      <c r="BD38" s="171" t="n"/>
      <c r="BE38" s="171" t="n"/>
      <c r="BF38" s="44" t="n"/>
      <c r="BG38" s="171" t="n"/>
      <c r="BH38" s="171" t="n"/>
      <c r="BI38" s="171" t="n"/>
      <c r="BJ38" s="171" t="n"/>
      <c r="BK38" s="44" t="n"/>
      <c r="BL38" s="171" t="n"/>
      <c r="BM38" s="171" t="n"/>
      <c r="BN38" s="44" t="n"/>
      <c r="BO38" s="171" t="n"/>
      <c r="BP38" s="171" t="n"/>
      <c r="BQ38" s="44" t="n"/>
      <c r="BR38" s="171" t="n"/>
      <c r="BS38" s="171" t="n"/>
      <c r="BT38" s="44" t="n"/>
      <c r="BU38" s="171" t="n"/>
      <c r="BV38" s="171" t="n"/>
      <c r="BW38" s="44" t="n"/>
      <c r="BX38" s="171" t="n"/>
      <c r="BY38" s="171" t="n"/>
      <c r="BZ38" s="44" t="n"/>
      <c r="CA38" s="171" t="n"/>
      <c r="CB38" s="3" t="n"/>
      <c r="CD38" s="44" t="n"/>
      <c r="CF38" s="44" t="n"/>
      <c r="CH38" s="44" t="n"/>
      <c r="CK38" s="44" t="n"/>
      <c r="CN38" s="44" t="n"/>
      <c r="CP38" s="44" t="n"/>
      <c r="CR38" s="44" t="n"/>
      <c r="CS38" s="44" t="n"/>
    </row>
    <row r="39" ht="15.75" customHeight="1">
      <c r="A39" s="3" t="n"/>
      <c r="B39" s="171" t="n"/>
      <c r="C39" s="171" t="n"/>
      <c r="D39" s="44" t="n"/>
      <c r="E39" s="171" t="n"/>
      <c r="F39" s="191" t="inlineStr">
        <is>
          <t>Main</t>
        </is>
      </c>
      <c r="G39" s="216" t="n"/>
      <c r="H39" s="216" t="n"/>
      <c r="I39" s="216" t="n"/>
      <c r="J39" s="216" t="n"/>
      <c r="K39" s="217" t="n"/>
      <c r="L39" s="171" t="n"/>
      <c r="M39" s="182" t="inlineStr">
        <is>
          <t>구분</t>
        </is>
      </c>
      <c r="N39" s="218" t="inlineStr">
        <is>
          <t>변압기온도</t>
        </is>
      </c>
      <c r="O39" s="219" t="n"/>
      <c r="P39" s="219" t="n"/>
      <c r="Q39" s="219" t="n"/>
      <c r="R39" s="220" t="n"/>
      <c r="S39" s="190" t="inlineStr">
        <is>
          <t>특이사항</t>
        </is>
      </c>
      <c r="T39" s="211" t="n"/>
      <c r="U39" s="211" t="n"/>
      <c r="V39" s="211" t="n"/>
      <c r="W39" s="212" t="n"/>
      <c r="AA39" s="171" t="n"/>
      <c r="AB39" s="171" t="n"/>
      <c r="AC39" s="171" t="n"/>
      <c r="AD39" s="44" t="n"/>
      <c r="AE39" s="171" t="n"/>
      <c r="AF39" s="171" t="n"/>
      <c r="AG39" s="44" t="n"/>
      <c r="AH39" s="171" t="n"/>
      <c r="AI39" s="171" t="n"/>
      <c r="AJ39" s="44" t="n"/>
      <c r="AK39" s="171" t="n"/>
      <c r="AL39" s="171" t="n"/>
      <c r="AM39" s="44" t="n"/>
      <c r="AN39" s="171" t="n"/>
      <c r="AO39" s="171" t="n"/>
      <c r="AP39" s="44" t="n"/>
      <c r="AQ39" s="171" t="n"/>
      <c r="AR39" s="171" t="n"/>
      <c r="AS39" s="44" t="n"/>
      <c r="AT39" s="171" t="n"/>
      <c r="AU39" s="171" t="n"/>
      <c r="AV39" s="44" t="n"/>
      <c r="AW39" s="171" t="n"/>
      <c r="AX39" s="171" t="n"/>
      <c r="AY39" s="44" t="n"/>
      <c r="AZ39" s="171" t="n"/>
      <c r="BA39" s="171" t="n"/>
      <c r="BB39" s="44" t="n"/>
      <c r="BC39" s="171" t="n"/>
      <c r="BD39" s="171" t="n"/>
      <c r="BE39" s="171" t="n"/>
      <c r="BF39" s="44" t="n"/>
      <c r="BG39" s="171" t="n"/>
      <c r="BH39" s="171" t="n"/>
      <c r="BI39" s="171" t="n"/>
      <c r="BJ39" s="171" t="n"/>
      <c r="BK39" s="44" t="n"/>
      <c r="BL39" s="171" t="n"/>
      <c r="BM39" s="171" t="n"/>
      <c r="BN39" s="44" t="n"/>
      <c r="BO39" s="171" t="n"/>
      <c r="BP39" s="171" t="n"/>
      <c r="BQ39" s="44" t="n"/>
      <c r="BR39" s="171" t="n"/>
      <c r="BS39" s="171" t="n"/>
      <c r="BT39" s="44" t="n"/>
      <c r="BU39" s="171" t="n"/>
      <c r="BV39" s="171" t="n"/>
      <c r="BW39" s="44" t="n"/>
      <c r="BX39" s="171" t="n"/>
      <c r="BY39" s="171" t="n"/>
      <c r="BZ39" s="44" t="n"/>
      <c r="CA39" s="171" t="n"/>
      <c r="CB39" s="3" t="n"/>
      <c r="CD39" s="44" t="n"/>
      <c r="CF39" s="44" t="n"/>
      <c r="CH39" s="44" t="n"/>
      <c r="CK39" s="44" t="n"/>
      <c r="CN39" s="44" t="n"/>
      <c r="CP39" s="44" t="n"/>
      <c r="CR39" s="44" t="n"/>
      <c r="CS39" s="44" t="n"/>
    </row>
    <row r="40" ht="15.75" customHeight="1">
      <c r="A40" s="3" t="n"/>
      <c r="B40" s="182" t="inlineStr">
        <is>
          <t>구분</t>
        </is>
      </c>
      <c r="C40" s="171" t="n"/>
      <c r="D40" s="44" t="n"/>
      <c r="E40" s="171" t="n"/>
      <c r="F40" s="174" t="inlineStr">
        <is>
          <t>No.3 MAIN</t>
        </is>
      </c>
      <c r="G40" s="212" t="n"/>
      <c r="H40" s="174" t="inlineStr">
        <is>
          <t>기가타운</t>
        </is>
      </c>
      <c r="I40" s="212" t="n"/>
      <c r="J40" s="174" t="inlineStr">
        <is>
          <t>No.1,2 MAIN</t>
        </is>
      </c>
      <c r="K40" s="212" t="n"/>
      <c r="L40" s="171" t="n"/>
      <c r="M40" s="213" t="n"/>
      <c r="N40" s="188" t="inlineStr">
        <is>
          <t>(오일/권선)</t>
        </is>
      </c>
      <c r="O40" s="219" t="n"/>
      <c r="P40" s="219" t="n"/>
      <c r="Q40" s="219" t="n"/>
      <c r="R40" s="153" t="n"/>
      <c r="S40" s="154" t="n"/>
      <c r="T40" s="44" t="n"/>
      <c r="U40" s="44" t="n"/>
      <c r="V40" s="43" t="n"/>
      <c r="W40" s="155" t="n"/>
      <c r="AA40" s="171" t="n"/>
      <c r="AB40" s="171" t="n"/>
      <c r="AC40" s="171" t="n"/>
      <c r="AD40" s="44" t="n"/>
      <c r="AE40" s="171" t="n"/>
      <c r="AF40" s="171" t="n"/>
      <c r="AG40" s="44" t="n"/>
      <c r="AH40" s="171" t="n"/>
      <c r="AI40" s="171" t="n"/>
      <c r="AJ40" s="44" t="n"/>
      <c r="AK40" s="171" t="n"/>
      <c r="AL40" s="171" t="n"/>
      <c r="AM40" s="44" t="n"/>
      <c r="AN40" s="171" t="n"/>
      <c r="AO40" s="171" t="n"/>
      <c r="AP40" s="44" t="n"/>
      <c r="AQ40" s="171" t="n"/>
      <c r="AR40" s="171" t="n"/>
      <c r="AS40" s="44" t="n"/>
      <c r="AT40" s="171" t="n"/>
      <c r="AU40" s="171" t="n"/>
      <c r="AV40" s="44" t="n"/>
      <c r="AW40" s="171" t="n"/>
      <c r="AX40" s="171" t="n"/>
      <c r="AY40" s="44" t="n"/>
      <c r="AZ40" s="171" t="n"/>
      <c r="BA40" s="171" t="n"/>
      <c r="BB40" s="44" t="n"/>
      <c r="BC40" s="171" t="n"/>
      <c r="BD40" s="171" t="n"/>
      <c r="BE40" s="171" t="n"/>
      <c r="BF40" s="44" t="n"/>
      <c r="BG40" s="171" t="n"/>
      <c r="BH40" s="171" t="n"/>
      <c r="BI40" s="171" t="n"/>
      <c r="BJ40" s="171" t="n"/>
      <c r="BK40" s="44" t="n"/>
      <c r="BL40" s="171" t="n"/>
      <c r="BM40" s="171" t="n"/>
      <c r="BN40" s="44" t="n"/>
      <c r="BO40" s="171" t="n"/>
      <c r="BP40" s="171" t="n"/>
      <c r="BQ40" s="44" t="n"/>
      <c r="BR40" s="171" t="n"/>
      <c r="BS40" s="171" t="n"/>
      <c r="BT40" s="44" t="n"/>
      <c r="BU40" s="171" t="n"/>
      <c r="BV40" s="171" t="n"/>
      <c r="BW40" s="44" t="n"/>
      <c r="BX40" s="171" t="n"/>
      <c r="BY40" s="171" t="n"/>
      <c r="BZ40" s="44" t="n"/>
      <c r="CA40" s="171" t="n"/>
      <c r="CB40" s="3" t="n"/>
      <c r="CD40" s="44" t="n"/>
      <c r="CF40" s="44" t="n"/>
      <c r="CH40" s="44" t="n"/>
      <c r="CK40" s="44" t="n"/>
      <c r="CN40" s="44" t="n"/>
      <c r="CP40" s="44" t="n"/>
      <c r="CR40" s="44" t="n"/>
      <c r="CS40" s="44" t="n"/>
    </row>
    <row r="41" ht="15.75" customHeight="1">
      <c r="A41" s="3" t="n"/>
      <c r="B41" s="213" t="n"/>
      <c r="C41" s="171" t="n"/>
      <c r="D41" s="44" t="n"/>
      <c r="E41" s="171" t="n"/>
      <c r="F41" s="141" t="inlineStr">
        <is>
          <t>전압</t>
        </is>
      </c>
      <c r="G41" s="141" t="inlineStr">
        <is>
          <t>전류</t>
        </is>
      </c>
      <c r="H41" s="138" t="inlineStr">
        <is>
          <t>전압</t>
        </is>
      </c>
      <c r="I41" s="142" t="inlineStr">
        <is>
          <t>전류</t>
        </is>
      </c>
      <c r="J41" s="141" t="inlineStr">
        <is>
          <t>전압</t>
        </is>
      </c>
      <c r="K41" s="141" t="inlineStr">
        <is>
          <t>전류</t>
        </is>
      </c>
      <c r="L41" s="171" t="n"/>
      <c r="M41" s="213" t="n"/>
      <c r="N41" s="156" t="inlineStr">
        <is>
          <t>NO.1</t>
        </is>
      </c>
      <c r="O41" s="157" t="inlineStr">
        <is>
          <t>NO.2</t>
        </is>
      </c>
      <c r="P41" s="157" t="inlineStr">
        <is>
          <t>NO.3</t>
        </is>
      </c>
      <c r="Q41" s="157" t="inlineStr">
        <is>
          <t>동백</t>
        </is>
      </c>
      <c r="R41" s="158" t="inlineStr">
        <is>
          <t>실내온도</t>
        </is>
      </c>
      <c r="S41" s="154" t="n"/>
      <c r="T41" s="44" t="n"/>
      <c r="U41" s="44" t="n"/>
      <c r="V41" s="43" t="n"/>
      <c r="W41" s="155" t="n"/>
      <c r="AA41" s="171" t="n"/>
      <c r="AB41" s="171" t="n"/>
      <c r="AC41" s="171" t="n"/>
      <c r="AD41" s="44" t="n"/>
      <c r="AE41" s="171" t="n"/>
      <c r="AF41" s="171" t="n"/>
      <c r="AG41" s="44" t="n"/>
      <c r="AH41" s="171" t="n"/>
      <c r="AI41" s="171" t="n"/>
      <c r="AJ41" s="44" t="n"/>
      <c r="AK41" s="171" t="n"/>
      <c r="AL41" s="171" t="n"/>
      <c r="AM41" s="44" t="n"/>
      <c r="AN41" s="171" t="n"/>
      <c r="AO41" s="171" t="n"/>
      <c r="AP41" s="44" t="n"/>
      <c r="AQ41" s="171" t="n"/>
      <c r="AR41" s="171" t="n"/>
      <c r="AS41" s="44" t="n"/>
      <c r="AT41" s="171" t="n"/>
      <c r="AU41" s="171" t="n"/>
      <c r="AV41" s="44" t="n"/>
      <c r="AW41" s="171" t="n"/>
      <c r="AX41" s="171" t="n"/>
      <c r="AY41" s="44" t="n"/>
      <c r="AZ41" s="171" t="n"/>
      <c r="BA41" s="171" t="n"/>
      <c r="BB41" s="44" t="n"/>
      <c r="BC41" s="171" t="n"/>
      <c r="BD41" s="171" t="n"/>
      <c r="BE41" s="171" t="n"/>
      <c r="BF41" s="44" t="n"/>
      <c r="BG41" s="171" t="n"/>
      <c r="BH41" s="171" t="n"/>
      <c r="BI41" s="171" t="n"/>
      <c r="BJ41" s="171" t="n"/>
      <c r="BK41" s="44" t="n"/>
      <c r="BL41" s="171" t="n"/>
      <c r="BM41" s="171" t="n"/>
      <c r="BN41" s="44" t="n"/>
      <c r="BO41" s="171" t="n"/>
      <c r="BP41" s="171" t="n"/>
      <c r="BQ41" s="44" t="n"/>
      <c r="BR41" s="171" t="n"/>
      <c r="BS41" s="171" t="n"/>
      <c r="BT41" s="44" t="n"/>
      <c r="BU41" s="171" t="n"/>
      <c r="BV41" s="171" t="n"/>
      <c r="BW41" s="44" t="n"/>
      <c r="BX41" s="171" t="n"/>
      <c r="BY41" s="171" t="n"/>
      <c r="BZ41" s="44" t="n"/>
      <c r="CA41" s="171" t="n"/>
      <c r="CB41" s="3" t="n"/>
      <c r="CD41" s="44" t="n"/>
      <c r="CF41" s="44" t="n"/>
      <c r="CH41" s="44" t="n"/>
      <c r="CK41" s="44" t="n"/>
      <c r="CN41" s="44" t="n"/>
      <c r="CP41" s="44" t="n"/>
      <c r="CR41" s="44" t="n"/>
      <c r="CS41" s="44" t="n"/>
    </row>
    <row r="42" ht="15.75" customHeight="1">
      <c r="A42" s="3" t="n"/>
      <c r="B42" s="213" t="n"/>
      <c r="C42" s="171" t="n"/>
      <c r="D42" s="44" t="n"/>
      <c r="E42" s="171" t="n"/>
      <c r="F42" s="143" t="inlineStr">
        <is>
          <t>kV</t>
        </is>
      </c>
      <c r="G42" s="143" t="inlineStr">
        <is>
          <t>A</t>
        </is>
      </c>
      <c r="H42" s="136" t="inlineStr">
        <is>
          <t>kV</t>
        </is>
      </c>
      <c r="I42" s="142" t="inlineStr">
        <is>
          <t>A</t>
        </is>
      </c>
      <c r="J42" s="143" t="inlineStr">
        <is>
          <t>kV</t>
        </is>
      </c>
      <c r="K42" s="143" t="inlineStr">
        <is>
          <t>A</t>
        </is>
      </c>
      <c r="L42" s="171" t="n"/>
      <c r="M42" s="214" t="n"/>
      <c r="N42" s="221" t="inlineStr">
        <is>
          <t>0~55℃</t>
        </is>
      </c>
      <c r="O42" s="219" t="n"/>
      <c r="P42" s="222" t="n"/>
      <c r="Q42" s="159" t="inlineStr">
        <is>
          <t>0~85℃</t>
        </is>
      </c>
      <c r="R42" s="160" t="inlineStr">
        <is>
          <t>10~30℃</t>
        </is>
      </c>
      <c r="S42" s="154" t="n"/>
      <c r="T42" s="44" t="n"/>
      <c r="U42" s="44" t="n"/>
      <c r="V42" s="43" t="n"/>
      <c r="W42" s="155" t="n"/>
      <c r="AA42" s="171" t="n"/>
      <c r="AB42" s="171" t="n"/>
      <c r="AC42" s="171" t="n"/>
      <c r="AD42" s="44" t="n"/>
      <c r="AE42" s="171" t="n"/>
      <c r="AF42" s="171" t="n"/>
      <c r="AG42" s="44" t="n"/>
      <c r="AH42" s="171" t="n"/>
      <c r="AI42" s="171" t="n"/>
      <c r="AJ42" s="44" t="n"/>
      <c r="AK42" s="171" t="n"/>
      <c r="AL42" s="171" t="n"/>
      <c r="AM42" s="44" t="n"/>
      <c r="AN42" s="171" t="n"/>
      <c r="AO42" s="171" t="n"/>
      <c r="AP42" s="44" t="n"/>
      <c r="AQ42" s="171" t="n"/>
      <c r="AR42" s="171" t="n"/>
      <c r="AS42" s="44" t="n"/>
      <c r="AT42" s="171" t="n"/>
      <c r="AU42" s="171" t="n"/>
      <c r="AV42" s="44" t="n"/>
      <c r="AW42" s="171" t="n"/>
      <c r="AX42" s="171" t="n"/>
      <c r="AY42" s="44" t="n"/>
      <c r="AZ42" s="171" t="n"/>
      <c r="BA42" s="171" t="n"/>
      <c r="BB42" s="44" t="n"/>
      <c r="BC42" s="171" t="n"/>
      <c r="BD42" s="171" t="n"/>
      <c r="BE42" s="171" t="n"/>
      <c r="BF42" s="44" t="n"/>
      <c r="BG42" s="171" t="n"/>
      <c r="BH42" s="171" t="n"/>
      <c r="BI42" s="171" t="n"/>
      <c r="BJ42" s="171" t="n"/>
      <c r="BK42" s="44" t="n"/>
      <c r="BL42" s="171" t="n"/>
      <c r="BM42" s="171" t="n"/>
      <c r="BN42" s="44" t="n"/>
      <c r="BO42" s="171" t="n"/>
      <c r="BP42" s="171" t="n"/>
      <c r="BQ42" s="44" t="n"/>
      <c r="BR42" s="171" t="n"/>
      <c r="BS42" s="171" t="n"/>
      <c r="BT42" s="44" t="n"/>
      <c r="BU42" s="171" t="n"/>
      <c r="BV42" s="171" t="n"/>
      <c r="BW42" s="44" t="n"/>
      <c r="BX42" s="171" t="n"/>
      <c r="BY42" s="171" t="n"/>
      <c r="BZ42" s="44" t="n"/>
      <c r="CA42" s="171" t="n"/>
      <c r="CB42" s="3" t="n"/>
      <c r="CD42" s="44" t="n"/>
      <c r="CF42" s="44" t="n"/>
      <c r="CH42" s="44" t="n"/>
      <c r="CK42" s="44" t="n"/>
      <c r="CN42" s="44" t="n"/>
      <c r="CP42" s="44" t="n"/>
      <c r="CR42" s="44" t="n"/>
      <c r="CS42" s="44" t="n"/>
    </row>
    <row r="43" ht="15.75" customHeight="1">
      <c r="A43" s="3" t="n"/>
      <c r="B43" s="214" t="n"/>
      <c r="C43" s="171" t="n"/>
      <c r="D43" s="44" t="n"/>
      <c r="E43" s="171" t="n"/>
      <c r="F43" s="174" t="inlineStr">
        <is>
          <t>21.0~23.9</t>
        </is>
      </c>
      <c r="G43" s="174" t="inlineStr">
        <is>
          <t>0~105</t>
        </is>
      </c>
      <c r="H43" s="145" t="inlineStr">
        <is>
          <t>21.0~23.9</t>
        </is>
      </c>
      <c r="I43" s="134" t="inlineStr">
        <is>
          <t>0~105</t>
        </is>
      </c>
      <c r="J43" s="174" t="inlineStr">
        <is>
          <t>21.0~23.9</t>
        </is>
      </c>
      <c r="K43" s="174" t="inlineStr">
        <is>
          <t>0~105</t>
        </is>
      </c>
      <c r="L43" s="171" t="n"/>
      <c r="M43" s="152" t="n">
        <v>0.25</v>
      </c>
      <c r="N43" s="223" t="n"/>
      <c r="O43" s="223" t="n"/>
      <c r="P43" s="223" t="n"/>
      <c r="Q43" s="224" t="n"/>
      <c r="R43" s="225" t="n"/>
      <c r="S43" s="154" t="n"/>
      <c r="T43" s="44" t="n"/>
      <c r="U43" s="44" t="n"/>
      <c r="V43" s="43" t="n"/>
      <c r="W43" s="155" t="n"/>
      <c r="AA43" s="171" t="n"/>
      <c r="AB43" s="171" t="n"/>
      <c r="AC43" s="171" t="n"/>
      <c r="AD43" s="44" t="n"/>
      <c r="AE43" s="171" t="n"/>
      <c r="AF43" s="171" t="n"/>
      <c r="AG43" s="44" t="n"/>
      <c r="AH43" s="171" t="n"/>
      <c r="AI43" s="171" t="n"/>
      <c r="AJ43" s="44" t="n"/>
      <c r="AK43" s="171" t="n"/>
      <c r="AL43" s="171" t="n"/>
      <c r="AM43" s="44" t="n"/>
      <c r="AN43" s="171" t="n"/>
      <c r="AO43" s="171" t="n"/>
      <c r="AP43" s="44" t="n"/>
      <c r="AQ43" s="171" t="n"/>
      <c r="AR43" s="171" t="n"/>
      <c r="AS43" s="44" t="n"/>
      <c r="AT43" s="171" t="n"/>
      <c r="AU43" s="171" t="n"/>
      <c r="AV43" s="44" t="n"/>
      <c r="AW43" s="171" t="n"/>
      <c r="AX43" s="171" t="n"/>
      <c r="AY43" s="44" t="n"/>
      <c r="AZ43" s="171" t="n"/>
      <c r="BA43" s="171" t="n"/>
      <c r="BB43" s="44" t="n"/>
      <c r="BC43" s="171" t="n"/>
      <c r="BD43" s="171" t="n"/>
      <c r="BE43" s="171" t="n"/>
      <c r="BF43" s="44" t="n"/>
      <c r="BG43" s="171" t="n"/>
      <c r="BH43" s="171" t="n"/>
      <c r="BI43" s="171" t="n"/>
      <c r="BJ43" s="171" t="n"/>
      <c r="BK43" s="44" t="n"/>
      <c r="BL43" s="171" t="n"/>
      <c r="BM43" s="171" t="n"/>
      <c r="BN43" s="44" t="n"/>
      <c r="BO43" s="171" t="n"/>
      <c r="BP43" s="171" t="n"/>
      <c r="BQ43" s="44" t="n"/>
      <c r="BR43" s="171" t="n"/>
      <c r="BS43" s="171" t="n"/>
      <c r="BT43" s="44" t="n"/>
      <c r="BU43" s="171" t="n"/>
      <c r="BV43" s="171" t="n"/>
      <c r="BW43" s="44" t="n"/>
      <c r="BX43" s="171" t="n"/>
      <c r="BY43" s="171" t="n"/>
      <c r="BZ43" s="44" t="n"/>
      <c r="CA43" s="171" t="n"/>
      <c r="CB43" s="3" t="n"/>
      <c r="CD43" s="44" t="n"/>
      <c r="CF43" s="44" t="n"/>
      <c r="CH43" s="44" t="n"/>
      <c r="CK43" s="44" t="n"/>
      <c r="CN43" s="44" t="n"/>
      <c r="CP43" s="44" t="n"/>
      <c r="CR43" s="44" t="n"/>
      <c r="CS43" s="44" t="n"/>
    </row>
    <row r="44" ht="15.75" customHeight="1">
      <c r="A44" s="3" t="n"/>
      <c r="B44" s="152" t="n">
        <v>0.25</v>
      </c>
      <c r="C44" s="171" t="n"/>
      <c r="D44" s="44" t="n"/>
      <c r="E44" s="171" t="n"/>
      <c r="F44" s="143" t="n"/>
      <c r="G44" s="143" t="n"/>
      <c r="H44" s="136" t="n"/>
      <c r="I44" s="142" t="n"/>
      <c r="J44" s="143" t="n"/>
      <c r="K44" s="143" t="n"/>
      <c r="L44" s="171" t="n"/>
      <c r="M44" s="152" t="n">
        <v>0.4166666666666667</v>
      </c>
      <c r="N44" s="223" t="n"/>
      <c r="O44" s="223" t="n"/>
      <c r="P44" s="223" t="n"/>
      <c r="Q44" s="224" t="n"/>
      <c r="R44" s="225" t="n"/>
      <c r="S44" s="154" t="n"/>
      <c r="T44" s="44" t="n"/>
      <c r="V44" s="43" t="n"/>
      <c r="W44" s="155" t="n"/>
      <c r="AA44" s="171" t="n"/>
      <c r="AB44" s="171" t="n"/>
      <c r="AC44" s="171" t="n"/>
      <c r="AD44" s="44" t="n"/>
      <c r="AE44" s="171" t="n"/>
      <c r="AF44" s="171" t="n"/>
      <c r="AG44" s="44" t="n"/>
      <c r="AH44" s="171" t="n"/>
      <c r="AI44" s="171" t="n"/>
      <c r="AJ44" s="44" t="n"/>
      <c r="AK44" s="171" t="n"/>
      <c r="AL44" s="171" t="n"/>
      <c r="AM44" s="44" t="n"/>
      <c r="AN44" s="171" t="n"/>
      <c r="AO44" s="171" t="n"/>
      <c r="AP44" s="44" t="n"/>
      <c r="AQ44" s="171" t="n"/>
      <c r="AR44" s="171" t="n"/>
      <c r="AS44" s="44" t="n"/>
      <c r="AT44" s="171" t="n"/>
      <c r="AU44" s="171" t="n"/>
      <c r="AV44" s="44" t="n"/>
      <c r="AW44" s="171" t="n"/>
      <c r="AX44" s="171" t="n"/>
      <c r="AY44" s="44" t="n"/>
      <c r="AZ44" s="171" t="n"/>
      <c r="BA44" s="171" t="n"/>
      <c r="BB44" s="44" t="n"/>
      <c r="BC44" s="171" t="n"/>
      <c r="BD44" s="171" t="n"/>
      <c r="BE44" s="171" t="n"/>
      <c r="BF44" s="44" t="n"/>
      <c r="BG44" s="171" t="n"/>
      <c r="BH44" s="171" t="n"/>
      <c r="BI44" s="171" t="n"/>
      <c r="BJ44" s="171" t="n"/>
      <c r="BK44" s="44" t="n"/>
      <c r="BL44" s="171" t="n"/>
      <c r="BM44" s="171" t="n"/>
      <c r="BN44" s="44" t="n"/>
      <c r="BO44" s="171" t="n"/>
      <c r="BP44" s="171" t="n"/>
      <c r="BQ44" s="44" t="n"/>
      <c r="BR44" s="171" t="n"/>
      <c r="BS44" s="171" t="n"/>
      <c r="BT44" s="44" t="n"/>
      <c r="BU44" s="171" t="n"/>
      <c r="BV44" s="171" t="n"/>
      <c r="BW44" s="44" t="n"/>
      <c r="BX44" s="171" t="n"/>
      <c r="BY44" s="171" t="n"/>
      <c r="BZ44" s="44" t="n"/>
      <c r="CA44" s="171" t="n"/>
      <c r="CB44" s="3" t="n"/>
      <c r="CD44" s="44" t="n"/>
      <c r="CF44" s="44" t="n"/>
      <c r="CH44" s="44" t="n"/>
      <c r="CK44" s="44" t="n"/>
      <c r="CN44" s="44" t="n"/>
      <c r="CP44" s="44" t="n"/>
      <c r="CR44" s="44" t="n"/>
      <c r="CS44" s="44" t="n"/>
    </row>
    <row r="45" ht="15.75" customHeight="1">
      <c r="A45" s="3" t="n"/>
      <c r="B45" s="147" t="n">
        <v>0.4166666666666667</v>
      </c>
      <c r="C45" s="171" t="n"/>
      <c r="D45" s="44" t="n"/>
      <c r="E45" s="171" t="n"/>
      <c r="F45" s="143" t="n"/>
      <c r="G45" s="143" t="n"/>
      <c r="H45" s="136" t="n"/>
      <c r="I45" s="142" t="n"/>
      <c r="J45" s="143" t="n"/>
      <c r="K45" s="143" t="n"/>
      <c r="L45" s="171" t="n"/>
      <c r="M45" s="152" t="n">
        <v>0.5833333333333334</v>
      </c>
      <c r="N45" s="223" t="n"/>
      <c r="O45" s="223" t="n"/>
      <c r="P45" s="223" t="n"/>
      <c r="Q45" s="224" t="n"/>
      <c r="R45" s="225" t="n"/>
      <c r="S45" s="154" t="n"/>
      <c r="T45" s="44" t="n"/>
      <c r="V45" s="43" t="n"/>
      <c r="W45" s="155" t="n"/>
      <c r="AA45" s="171" t="n"/>
      <c r="AB45" s="171" t="n"/>
      <c r="AC45" s="171" t="n"/>
      <c r="AD45" s="44" t="n"/>
      <c r="AE45" s="171" t="n"/>
      <c r="AF45" s="171" t="n"/>
      <c r="AG45" s="44" t="n"/>
      <c r="AH45" s="171" t="n"/>
      <c r="AI45" s="171" t="n"/>
      <c r="AJ45" s="44" t="n"/>
      <c r="AK45" s="171" t="n"/>
      <c r="AL45" s="171" t="n"/>
      <c r="AM45" s="44" t="n"/>
      <c r="AN45" s="171" t="n"/>
      <c r="AO45" s="171" t="n"/>
      <c r="AP45" s="44" t="n"/>
      <c r="AQ45" s="171" t="n"/>
      <c r="AR45" s="171" t="n"/>
      <c r="AS45" s="44" t="n"/>
      <c r="AT45" s="171" t="n"/>
      <c r="AU45" s="171" t="n"/>
      <c r="AV45" s="44" t="n"/>
      <c r="AW45" s="171" t="n"/>
      <c r="AX45" s="171" t="n"/>
      <c r="AY45" s="44" t="n"/>
      <c r="AZ45" s="171" t="n"/>
      <c r="BA45" s="171" t="n"/>
      <c r="BB45" s="44" t="n"/>
      <c r="BC45" s="171" t="n"/>
      <c r="BD45" s="171" t="n"/>
      <c r="BE45" s="171" t="n"/>
      <c r="BF45" s="44" t="n"/>
      <c r="BG45" s="171" t="n"/>
      <c r="BH45" s="171" t="n"/>
      <c r="BI45" s="171" t="n"/>
      <c r="BJ45" s="171" t="n"/>
      <c r="BK45" s="44" t="n"/>
      <c r="BL45" s="171" t="n"/>
      <c r="BM45" s="171" t="n"/>
      <c r="BN45" s="44" t="n"/>
      <c r="BO45" s="171" t="n"/>
      <c r="BP45" s="171" t="n"/>
      <c r="BQ45" s="44" t="n"/>
      <c r="BR45" s="171" t="n"/>
      <c r="BS45" s="171" t="n"/>
      <c r="BT45" s="44" t="n"/>
      <c r="BU45" s="171" t="n"/>
      <c r="BV45" s="171" t="n"/>
      <c r="BW45" s="44" t="n"/>
      <c r="BX45" s="171" t="n"/>
      <c r="BY45" s="171" t="n"/>
      <c r="BZ45" s="44" t="n"/>
      <c r="CA45" s="171" t="n"/>
      <c r="CB45" s="3" t="n"/>
      <c r="CD45" s="44" t="n"/>
      <c r="CF45" s="44" t="n"/>
      <c r="CH45" s="44" t="n"/>
      <c r="CK45" s="44" t="n"/>
      <c r="CN45" s="44" t="n"/>
      <c r="CP45" s="44" t="n"/>
      <c r="CR45" s="44" t="n"/>
      <c r="CS45" s="44" t="n"/>
    </row>
    <row r="46" ht="15.75" customHeight="1">
      <c r="A46" s="3" t="n"/>
      <c r="B46" s="147" t="n">
        <v>0.5833333333333334</v>
      </c>
      <c r="C46" s="171" t="n"/>
      <c r="D46" s="44" t="n"/>
      <c r="E46" s="171" t="n"/>
      <c r="F46" s="143" t="n"/>
      <c r="G46" s="143" t="n"/>
      <c r="H46" s="136" t="n"/>
      <c r="I46" s="142" t="n"/>
      <c r="J46" s="143" t="n"/>
      <c r="K46" s="143" t="n"/>
      <c r="L46" s="171" t="n"/>
      <c r="M46" s="152" t="n">
        <v>0.7083333333333334</v>
      </c>
      <c r="N46" s="223" t="n"/>
      <c r="O46" s="223" t="n"/>
      <c r="P46" s="223" t="n"/>
      <c r="Q46" s="224" t="n"/>
      <c r="R46" s="225" t="n"/>
      <c r="S46" s="154" t="n"/>
      <c r="T46" s="44" t="n"/>
      <c r="V46" s="43" t="n"/>
      <c r="W46" s="155" t="n"/>
      <c r="AA46" s="171" t="n"/>
      <c r="AB46" s="171" t="n"/>
      <c r="AC46" s="171" t="n"/>
      <c r="AD46" s="44" t="n"/>
      <c r="AE46" s="171" t="n"/>
      <c r="AF46" s="171" t="n"/>
      <c r="AG46" s="44" t="n"/>
      <c r="AH46" s="171" t="n"/>
      <c r="AI46" s="171" t="n"/>
      <c r="AJ46" s="44" t="n"/>
      <c r="AK46" s="171" t="n"/>
      <c r="AL46" s="171" t="n"/>
      <c r="AM46" s="44" t="n"/>
      <c r="AN46" s="171" t="n"/>
      <c r="AO46" s="171" t="n"/>
      <c r="AP46" s="44" t="n"/>
      <c r="AQ46" s="171" t="n"/>
      <c r="AR46" s="171" t="n"/>
      <c r="AS46" s="44" t="n"/>
      <c r="AT46" s="171" t="n"/>
      <c r="AU46" s="171" t="n"/>
      <c r="AV46" s="44" t="n"/>
      <c r="AW46" s="171" t="n"/>
      <c r="AX46" s="171" t="n"/>
      <c r="AY46" s="44" t="n"/>
      <c r="AZ46" s="171" t="n"/>
      <c r="BA46" s="171" t="n"/>
      <c r="BB46" s="44" t="n"/>
      <c r="BC46" s="171" t="n"/>
      <c r="BD46" s="171" t="n"/>
      <c r="BE46" s="171" t="n"/>
      <c r="BF46" s="44" t="n"/>
      <c r="BG46" s="171" t="n"/>
      <c r="BH46" s="171" t="n"/>
      <c r="BI46" s="171" t="n"/>
      <c r="BJ46" s="171" t="n"/>
      <c r="BK46" s="44" t="n"/>
      <c r="BL46" s="171" t="n"/>
      <c r="BM46" s="171" t="n"/>
      <c r="BN46" s="44" t="n"/>
      <c r="BO46" s="171" t="n"/>
      <c r="BP46" s="171" t="n"/>
      <c r="BQ46" s="44" t="n"/>
      <c r="BR46" s="171" t="n"/>
      <c r="BS46" s="171" t="n"/>
      <c r="BT46" s="44" t="n"/>
      <c r="BU46" s="171" t="n"/>
      <c r="BV46" s="171" t="n"/>
      <c r="BW46" s="44" t="n"/>
      <c r="BX46" s="171" t="n"/>
      <c r="BY46" s="171" t="n"/>
      <c r="BZ46" s="44" t="n"/>
      <c r="CA46" s="171" t="n"/>
      <c r="CB46" s="3" t="n"/>
      <c r="CD46" s="44" t="n"/>
      <c r="CF46" s="44" t="n"/>
      <c r="CH46" s="44" t="n"/>
      <c r="CK46" s="44" t="n"/>
      <c r="CN46" s="44" t="n"/>
      <c r="CP46" s="44" t="n"/>
      <c r="CR46" s="44" t="n"/>
      <c r="CS46" s="44" t="n"/>
    </row>
    <row r="47" ht="15.75" customHeight="1">
      <c r="A47" s="3" t="n"/>
      <c r="B47" s="147" t="n">
        <v>0.7083333333333334</v>
      </c>
      <c r="C47" s="171" t="n"/>
      <c r="D47" s="44" t="n"/>
      <c r="E47" s="171" t="n"/>
      <c r="F47" s="143" t="n"/>
      <c r="G47" s="143" t="n"/>
      <c r="H47" s="136" t="n"/>
      <c r="I47" s="142" t="n"/>
      <c r="J47" s="143" t="n"/>
      <c r="K47" s="143" t="n"/>
      <c r="L47" s="171" t="n"/>
      <c r="M47" s="152" t="n">
        <v>0.8333333333333334</v>
      </c>
      <c r="N47" s="223" t="n"/>
      <c r="O47" s="223" t="n"/>
      <c r="P47" s="223" t="n"/>
      <c r="Q47" s="224" t="n"/>
      <c r="R47" s="225" t="n"/>
      <c r="S47" s="154" t="n"/>
      <c r="T47" s="44" t="n"/>
      <c r="V47" s="43" t="n"/>
      <c r="W47" s="155" t="n"/>
      <c r="AA47" s="171" t="n"/>
      <c r="AB47" s="171" t="n"/>
      <c r="AC47" s="171" t="n"/>
      <c r="AD47" s="44" t="n"/>
      <c r="AE47" s="171" t="n"/>
      <c r="AF47" s="171" t="n"/>
      <c r="AG47" s="44" t="n"/>
      <c r="AH47" s="171" t="n"/>
      <c r="AI47" s="171" t="n"/>
      <c r="AJ47" s="44" t="n"/>
      <c r="AK47" s="171" t="n"/>
      <c r="AL47" s="171" t="n"/>
      <c r="AM47" s="44" t="n"/>
      <c r="AN47" s="171" t="n"/>
      <c r="AO47" s="171" t="n"/>
      <c r="AP47" s="44" t="n"/>
      <c r="AQ47" s="171" t="n"/>
      <c r="AR47" s="171" t="n"/>
      <c r="AS47" s="44" t="n"/>
      <c r="AT47" s="171" t="n"/>
      <c r="AU47" s="171" t="n"/>
      <c r="AV47" s="44" t="n"/>
      <c r="AW47" s="171" t="n"/>
      <c r="AX47" s="171" t="n"/>
      <c r="AY47" s="44" t="n"/>
      <c r="AZ47" s="171" t="n"/>
      <c r="BA47" s="171" t="n"/>
      <c r="BB47" s="44" t="n"/>
      <c r="BC47" s="171" t="n"/>
      <c r="BD47" s="171" t="n"/>
      <c r="BE47" s="171" t="n"/>
      <c r="BF47" s="44" t="n"/>
      <c r="BG47" s="171" t="n"/>
      <c r="BH47" s="171" t="n"/>
      <c r="BI47" s="171" t="n"/>
      <c r="BJ47" s="171" t="n"/>
      <c r="BK47" s="44" t="n"/>
      <c r="BL47" s="171" t="n"/>
      <c r="BM47" s="171" t="n"/>
      <c r="BN47" s="44" t="n"/>
      <c r="BO47" s="171" t="n"/>
      <c r="BP47" s="171" t="n"/>
      <c r="BQ47" s="44" t="n"/>
      <c r="BR47" s="171" t="n"/>
      <c r="BS47" s="171" t="n"/>
      <c r="BT47" s="44" t="n"/>
      <c r="BU47" s="171" t="n"/>
      <c r="BV47" s="171" t="n"/>
      <c r="BW47" s="44" t="n"/>
      <c r="BX47" s="171" t="n"/>
      <c r="BY47" s="171" t="n"/>
      <c r="BZ47" s="44" t="n"/>
      <c r="CA47" s="171" t="n"/>
      <c r="CB47" s="3" t="n"/>
      <c r="CD47" s="44" t="n"/>
      <c r="CF47" s="44" t="n"/>
      <c r="CH47" s="44" t="n"/>
      <c r="CK47" s="44" t="n"/>
      <c r="CN47" s="44" t="n"/>
      <c r="CP47" s="44" t="n"/>
      <c r="CR47" s="44" t="n"/>
      <c r="CS47" s="44" t="n"/>
    </row>
    <row r="48" ht="15.75" customHeight="1">
      <c r="A48" s="3" t="n"/>
      <c r="B48" s="147" t="n">
        <v>0.8333333333333334</v>
      </c>
      <c r="C48" s="171" t="n"/>
      <c r="D48" s="44" t="n"/>
      <c r="E48" s="171" t="n"/>
      <c r="F48" s="143" t="n"/>
      <c r="G48" s="143" t="n"/>
      <c r="H48" s="136" t="n"/>
      <c r="I48" s="142" t="n"/>
      <c r="J48" s="143" t="n"/>
      <c r="K48" s="143" t="n"/>
      <c r="L48" s="171" t="n"/>
      <c r="M48" s="152" t="n">
        <v>0.9166666666666666</v>
      </c>
      <c r="N48" s="223" t="n"/>
      <c r="O48" s="223" t="n"/>
      <c r="P48" s="223" t="n"/>
      <c r="Q48" s="224" t="n"/>
      <c r="R48" s="225" t="n"/>
      <c r="S48" s="164" t="n"/>
      <c r="T48" s="165" t="n"/>
      <c r="U48" s="166" t="n"/>
      <c r="V48" s="167" t="n"/>
      <c r="W48" s="168" t="n"/>
      <c r="AA48" s="171" t="n"/>
      <c r="AB48" s="171" t="n"/>
      <c r="AC48" s="171" t="n"/>
      <c r="AD48" s="44" t="n"/>
      <c r="AE48" s="171" t="n"/>
      <c r="AF48" s="171" t="n"/>
      <c r="AG48" s="44" t="n"/>
      <c r="AH48" s="171" t="n"/>
      <c r="AI48" s="171" t="n"/>
      <c r="AJ48" s="44" t="n"/>
      <c r="AK48" s="171" t="n"/>
      <c r="AL48" s="171" t="n"/>
      <c r="AM48" s="44" t="n"/>
      <c r="AN48" s="171" t="n"/>
      <c r="AO48" s="171" t="n"/>
      <c r="AP48" s="44" t="n"/>
      <c r="AQ48" s="171" t="n"/>
      <c r="AR48" s="171" t="n"/>
      <c r="AS48" s="44" t="n"/>
      <c r="AT48" s="171" t="n"/>
      <c r="AU48" s="171" t="n"/>
      <c r="AV48" s="44" t="n"/>
      <c r="AW48" s="171" t="n"/>
      <c r="AX48" s="171" t="n"/>
      <c r="AY48" s="44" t="n"/>
      <c r="AZ48" s="171" t="n"/>
      <c r="BA48" s="171" t="n"/>
      <c r="BB48" s="44" t="n"/>
      <c r="BC48" s="171" t="n"/>
      <c r="BD48" s="171" t="n"/>
      <c r="BE48" s="171" t="n"/>
      <c r="BF48" s="44" t="n"/>
      <c r="BG48" s="171" t="n"/>
      <c r="BH48" s="171" t="n"/>
      <c r="BI48" s="171" t="n"/>
      <c r="BJ48" s="171" t="n"/>
      <c r="BK48" s="44" t="n"/>
      <c r="BL48" s="171" t="n"/>
      <c r="BM48" s="171" t="n"/>
      <c r="BN48" s="44" t="n"/>
      <c r="BO48" s="171" t="n"/>
      <c r="BP48" s="171" t="n"/>
      <c r="BQ48" s="44" t="n"/>
      <c r="BR48" s="171" t="n"/>
      <c r="BS48" s="171" t="n"/>
      <c r="BT48" s="44" t="n"/>
      <c r="BU48" s="171" t="n"/>
      <c r="BV48" s="171" t="n"/>
      <c r="BW48" s="44" t="n"/>
      <c r="BX48" s="171" t="n"/>
      <c r="BY48" s="171" t="n"/>
      <c r="BZ48" s="44" t="n"/>
      <c r="CA48" s="171" t="n"/>
      <c r="CB48" s="3" t="n"/>
      <c r="CD48" s="44" t="n"/>
      <c r="CF48" s="44" t="n"/>
      <c r="CH48" s="44" t="n"/>
      <c r="CK48" s="44" t="n"/>
      <c r="CN48" s="44" t="n"/>
      <c r="CP48" s="44" t="n"/>
      <c r="CR48" s="44" t="n"/>
      <c r="CS48" s="44" t="n"/>
    </row>
    <row r="49" ht="15.75" customHeight="1">
      <c r="A49" s="3" t="n"/>
      <c r="B49" s="147" t="n">
        <v>0.9166666666666666</v>
      </c>
      <c r="C49" s="171" t="n"/>
      <c r="D49" s="44" t="n"/>
      <c r="E49" s="171" t="n"/>
      <c r="F49" s="143" t="n"/>
      <c r="G49" s="143" t="n"/>
      <c r="H49" s="137" t="n"/>
      <c r="I49" s="142" t="n"/>
      <c r="J49" s="143" t="n"/>
      <c r="K49" s="143" t="n"/>
      <c r="L49" s="171" t="n"/>
      <c r="M49" s="171" t="n"/>
      <c r="N49" s="44" t="n"/>
      <c r="O49" s="171" t="n"/>
      <c r="P49" s="171" t="n"/>
      <c r="Q49" s="44" t="n"/>
      <c r="R49" s="171" t="n"/>
      <c r="S49" s="171" t="n"/>
      <c r="T49" s="44" t="n"/>
      <c r="U49" s="171" t="n"/>
      <c r="V49" s="171" t="n"/>
      <c r="W49" s="171" t="n"/>
      <c r="X49" s="171" t="n"/>
      <c r="Y49" s="44" t="n"/>
      <c r="Z49" s="171" t="n"/>
      <c r="AA49" s="171" t="n"/>
      <c r="AB49" s="171" t="n"/>
      <c r="AC49" s="171" t="n"/>
      <c r="AD49" s="44" t="n"/>
      <c r="AE49" s="171" t="n"/>
      <c r="AF49" s="171" t="n"/>
      <c r="AG49" s="44" t="n"/>
      <c r="AH49" s="171" t="n"/>
      <c r="AI49" s="171" t="n"/>
      <c r="AJ49" s="44" t="n"/>
      <c r="AK49" s="171" t="n"/>
      <c r="AL49" s="171" t="n"/>
      <c r="AM49" s="44" t="n"/>
      <c r="AN49" s="171" t="n"/>
      <c r="AO49" s="171" t="n"/>
      <c r="AP49" s="44" t="n"/>
      <c r="AQ49" s="171" t="n"/>
      <c r="AR49" s="171" t="n"/>
      <c r="AS49" s="44" t="n"/>
      <c r="AT49" s="171" t="n"/>
      <c r="AU49" s="171" t="n"/>
      <c r="AV49" s="44" t="n"/>
      <c r="AW49" s="171" t="n"/>
      <c r="AX49" s="171" t="n"/>
      <c r="AY49" s="44" t="n"/>
      <c r="AZ49" s="171" t="n"/>
      <c r="BA49" s="171" t="n"/>
      <c r="BB49" s="44" t="n"/>
      <c r="BC49" s="171" t="n"/>
      <c r="BD49" s="171" t="n"/>
      <c r="BE49" s="171" t="n"/>
      <c r="BF49" s="44" t="n"/>
      <c r="BG49" s="171" t="n"/>
      <c r="BH49" s="171" t="n"/>
      <c r="BI49" s="171" t="n"/>
      <c r="BJ49" s="171" t="n"/>
      <c r="BK49" s="44" t="n"/>
      <c r="BL49" s="171" t="n"/>
      <c r="BM49" s="171" t="n"/>
      <c r="BN49" s="44" t="n"/>
      <c r="BO49" s="171" t="n"/>
      <c r="BP49" s="171" t="n"/>
      <c r="BQ49" s="44" t="n"/>
      <c r="BR49" s="171" t="n"/>
      <c r="BS49" s="171" t="n"/>
      <c r="BT49" s="44" t="n"/>
      <c r="BU49" s="171" t="n"/>
      <c r="BV49" s="171" t="n"/>
      <c r="BW49" s="44" t="n"/>
      <c r="BX49" s="171" t="n"/>
      <c r="BY49" s="171" t="n"/>
      <c r="BZ49" s="44" t="n"/>
      <c r="CA49" s="171" t="n"/>
      <c r="CB49" s="3" t="n"/>
      <c r="CD49" s="44" t="n"/>
      <c r="CF49" s="44" t="n"/>
      <c r="CH49" s="44" t="n"/>
      <c r="CK49" s="44" t="n"/>
      <c r="CN49" s="44" t="n"/>
      <c r="CP49" s="44" t="n"/>
      <c r="CR49" s="44" t="n"/>
      <c r="CS49" s="44" t="n"/>
    </row>
    <row r="50" ht="15.75" customHeight="1">
      <c r="A50" s="3" t="n"/>
      <c r="B50" s="171" t="n"/>
      <c r="C50" s="171" t="n"/>
      <c r="D50" s="44" t="n"/>
      <c r="E50" s="171" t="n"/>
      <c r="F50" s="150" t="n"/>
      <c r="G50" s="171" t="n"/>
      <c r="H50" s="171" t="n"/>
      <c r="I50" s="44" t="n"/>
      <c r="J50" s="171" t="n"/>
      <c r="K50" s="171" t="n"/>
      <c r="L50" s="171" t="n"/>
      <c r="M50" s="171" t="n"/>
      <c r="N50" s="44" t="n"/>
      <c r="O50" s="171" t="n"/>
      <c r="P50" s="171" t="n"/>
      <c r="Q50" s="44" t="n"/>
      <c r="R50" s="171" t="n"/>
      <c r="S50" s="171" t="n"/>
      <c r="T50" s="44" t="n"/>
      <c r="U50" s="171" t="n"/>
      <c r="V50" s="171" t="n"/>
      <c r="W50" s="171" t="n"/>
      <c r="X50" s="171" t="n"/>
      <c r="Y50" s="44" t="n"/>
      <c r="Z50" s="171" t="n"/>
      <c r="AA50" s="171" t="n"/>
      <c r="AB50" s="171" t="n"/>
      <c r="AC50" s="171" t="n"/>
      <c r="AD50" s="44" t="n"/>
      <c r="AE50" s="171" t="n"/>
      <c r="AF50" s="171" t="n"/>
      <c r="AG50" s="44" t="n"/>
      <c r="AH50" s="171" t="n"/>
      <c r="AI50" s="171" t="n"/>
      <c r="AJ50" s="44" t="n"/>
      <c r="AK50" s="171" t="n"/>
      <c r="AL50" s="171" t="n"/>
      <c r="AM50" s="44" t="n"/>
      <c r="AN50" s="171" t="n"/>
      <c r="AO50" s="171" t="n"/>
      <c r="AP50" s="44" t="n"/>
      <c r="AQ50" s="171" t="n"/>
      <c r="AR50" s="171" t="n"/>
      <c r="AS50" s="44" t="n"/>
      <c r="AT50" s="171" t="n"/>
      <c r="AU50" s="171" t="n"/>
      <c r="AV50" s="44" t="n"/>
      <c r="AW50" s="171" t="n"/>
      <c r="AX50" s="171" t="n"/>
      <c r="AY50" s="44" t="n"/>
      <c r="AZ50" s="171" t="n"/>
      <c r="BA50" s="171" t="n"/>
      <c r="BB50" s="44" t="n"/>
      <c r="BC50" s="171" t="n"/>
      <c r="BD50" s="171" t="n"/>
      <c r="BE50" s="171" t="n"/>
      <c r="BF50" s="44" t="n"/>
      <c r="BG50" s="171" t="n"/>
      <c r="BH50" s="171" t="n"/>
      <c r="BI50" s="171" t="n"/>
      <c r="BJ50" s="171" t="n"/>
      <c r="BK50" s="44" t="n"/>
      <c r="BL50" s="171" t="n"/>
      <c r="BM50" s="171" t="n"/>
      <c r="BN50" s="44" t="n"/>
      <c r="BO50" s="171" t="n"/>
      <c r="BP50" s="171" t="n"/>
      <c r="BQ50" s="44" t="n"/>
      <c r="BR50" s="171" t="n"/>
      <c r="BS50" s="171" t="n"/>
      <c r="BT50" s="44" t="n"/>
      <c r="BU50" s="171" t="n"/>
      <c r="BV50" s="171" t="n"/>
      <c r="BW50" s="44" t="n"/>
      <c r="BX50" s="171" t="n"/>
      <c r="BY50" s="171" t="n"/>
      <c r="BZ50" s="44" t="n"/>
      <c r="CA50" s="171" t="n"/>
      <c r="CB50" s="3" t="n"/>
      <c r="CD50" s="44" t="n"/>
      <c r="CF50" s="44" t="n"/>
      <c r="CH50" s="44" t="n"/>
      <c r="CK50" s="44" t="n"/>
      <c r="CN50" s="44" t="n"/>
      <c r="CP50" s="44" t="n"/>
      <c r="CR50" s="44" t="n"/>
      <c r="CS50" s="44" t="n"/>
    </row>
    <row r="51" ht="15.75" customHeight="1">
      <c r="A51" s="1" t="n"/>
      <c r="P51" s="4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172" t="n"/>
      <c r="CD51" s="172" t="n"/>
      <c r="CF51" s="172" t="n"/>
      <c r="CO51" s="172" t="n"/>
      <c r="CR51" s="39" t="n"/>
      <c r="CS51" s="39" t="n"/>
    </row>
    <row r="52" ht="14.25" customHeight="1">
      <c r="A52" s="1" t="n"/>
      <c r="P52" s="4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  <c r="AQ52" s="3" t="n"/>
      <c r="AR52" s="3" t="n"/>
      <c r="AS52" s="3" t="n"/>
      <c r="AT52" s="3" t="n"/>
      <c r="AU52" s="3" t="n"/>
      <c r="AV52" s="3" t="n"/>
      <c r="AW52" s="3" t="n"/>
      <c r="AX52" s="3" t="n"/>
      <c r="AY52" s="3" t="n"/>
      <c r="AZ52" s="3" t="n"/>
      <c r="BA52" s="3" t="n"/>
      <c r="BB52" s="3" t="n"/>
      <c r="BC52" s="3" t="n"/>
      <c r="BD52" s="3" t="n"/>
      <c r="BE52" s="3" t="n"/>
      <c r="BF52" s="3" t="n"/>
      <c r="BG52" s="3" t="n"/>
      <c r="BH52" s="3" t="n"/>
      <c r="BI52" s="3" t="n"/>
      <c r="BJ52" s="3" t="n"/>
      <c r="BK52" s="3" t="n"/>
      <c r="BL52" s="3" t="n"/>
      <c r="BM52" s="3" t="n"/>
      <c r="BN52" s="3" t="n"/>
      <c r="BO52" s="3" t="n"/>
      <c r="BP52" s="3" t="n"/>
      <c r="BQ52" s="3" t="n"/>
      <c r="BR52" s="3" t="n"/>
      <c r="BS52" s="3" t="n"/>
      <c r="BT52" s="3" t="n"/>
      <c r="BU52" s="3" t="n"/>
      <c r="BV52" s="3" t="n"/>
      <c r="BW52" s="3" t="n"/>
      <c r="BX52" s="3" t="n"/>
      <c r="BY52" s="3" t="n"/>
      <c r="BZ52" s="3" t="n"/>
      <c r="CA52" s="3" t="n"/>
      <c r="CB52" s="4" t="n"/>
      <c r="CC52" s="4" t="n"/>
      <c r="CD52" s="4" t="n"/>
      <c r="CE52" s="4" t="n"/>
      <c r="CF52" s="4" t="n"/>
      <c r="CG52" s="4" t="n"/>
      <c r="CO52" s="4" t="n"/>
      <c r="CP52" s="4" t="n"/>
      <c r="CR52" s="40" t="n"/>
      <c r="CS52" s="40" t="n"/>
    </row>
    <row r="53" ht="14.25" customHeight="1">
      <c r="A53" s="1" t="n"/>
      <c r="P53" s="4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3" t="n"/>
      <c r="AX53" s="3" t="n"/>
      <c r="AY53" s="3" t="n"/>
      <c r="AZ53" s="3" t="n"/>
      <c r="BA53" s="3" t="n"/>
      <c r="BB53" s="3" t="n"/>
      <c r="BC53" s="3" t="n"/>
      <c r="BD53" s="3" t="n"/>
      <c r="BE53" s="3" t="n"/>
      <c r="BF53" s="3" t="n"/>
      <c r="BG53" s="3" t="n"/>
      <c r="BH53" s="3" t="n"/>
      <c r="BI53" s="3" t="n"/>
      <c r="BJ53" s="3" t="n"/>
      <c r="BK53" s="3" t="n"/>
      <c r="BL53" s="3" t="n"/>
      <c r="BM53" s="3" t="n"/>
      <c r="BN53" s="3" t="n"/>
      <c r="BO53" s="3" t="n"/>
      <c r="BP53" s="3" t="n"/>
      <c r="BQ53" s="3" t="n"/>
      <c r="BR53" s="3" t="n"/>
      <c r="BS53" s="3" t="n"/>
      <c r="BT53" s="3" t="n"/>
      <c r="BU53" s="3" t="n"/>
      <c r="BV53" s="3" t="n"/>
      <c r="BW53" s="3" t="n"/>
      <c r="BX53" s="3" t="n"/>
      <c r="BY53" s="3" t="n"/>
      <c r="BZ53" s="3" t="n"/>
      <c r="CA53" s="3" t="n"/>
      <c r="CB53" s="4" t="n"/>
      <c r="CC53" s="4" t="n"/>
      <c r="CD53" s="4" t="n"/>
      <c r="CE53" s="4" t="n"/>
      <c r="CF53" s="4" t="n"/>
      <c r="CG53" s="4" t="n"/>
      <c r="CO53" s="4" t="n"/>
      <c r="CP53" s="4" t="n"/>
      <c r="CR53" s="39" t="n"/>
      <c r="CS53" s="39" t="n"/>
    </row>
    <row r="54" ht="14.25" customHeight="1">
      <c r="A54" s="4" t="n"/>
      <c r="P54" s="4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41" t="n"/>
      <c r="CC54" s="41" t="n"/>
      <c r="CD54" s="41" t="n"/>
      <c r="CE54" s="41" t="n"/>
      <c r="CF54" s="41" t="n"/>
      <c r="CG54" s="41" t="n"/>
      <c r="CO54" s="41" t="n"/>
      <c r="CP54" s="41" t="n"/>
      <c r="CR54" s="39" t="n"/>
      <c r="CS54" s="39" t="n"/>
    </row>
    <row r="55" ht="14.25" customHeight="1">
      <c r="A55" s="2" t="n"/>
      <c r="P55" s="4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42" t="n"/>
      <c r="CC55" s="4" t="n"/>
      <c r="CD55" s="42" t="n"/>
      <c r="CE55" s="42" t="n"/>
      <c r="CF55" s="4" t="n"/>
      <c r="CG55" s="42" t="n"/>
      <c r="CO55" s="42" t="n"/>
      <c r="CP55" s="42" t="n"/>
      <c r="CR55" s="39" t="n"/>
      <c r="CS55" s="39" t="n"/>
    </row>
    <row r="56" ht="14.25" customHeight="1">
      <c r="A56" s="2" t="n"/>
      <c r="P56" s="4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6" t="n"/>
      <c r="CO56" s="4" t="n"/>
      <c r="CP56" s="4" t="n"/>
      <c r="CR56" s="39" t="n"/>
      <c r="CS56" s="39" t="n"/>
    </row>
    <row r="57" ht="14.25" customHeight="1">
      <c r="A57" s="2" t="n"/>
      <c r="P57" s="4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6" t="n"/>
      <c r="CC57" s="5" t="n"/>
      <c r="CD57" s="5" t="n"/>
      <c r="CG57" s="5" t="n"/>
      <c r="CO57" s="4" t="n"/>
      <c r="CP57" s="4" t="n"/>
      <c r="CR57" s="39" t="n"/>
      <c r="CS57" s="39" t="n"/>
    </row>
    <row r="58" ht="14.25" customHeight="1">
      <c r="A58" s="2" t="n"/>
      <c r="P58" s="4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6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6" t="n"/>
      <c r="CC58" s="5" t="n"/>
      <c r="CD58" s="5" t="n"/>
      <c r="CG58" s="5" t="n"/>
      <c r="CO58" s="4" t="n"/>
      <c r="CP58" s="4" t="n"/>
      <c r="CR58" s="39" t="n"/>
      <c r="CS58" s="39" t="n"/>
    </row>
    <row r="59" ht="14.25" customHeight="1">
      <c r="A59" s="2" t="n"/>
      <c r="P59" s="4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6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6" t="n"/>
      <c r="CC59" s="5" t="n"/>
      <c r="CD59" s="5" t="n"/>
      <c r="CG59" s="5" t="n"/>
      <c r="CO59" s="4" t="n"/>
      <c r="CP59" s="4" t="n"/>
    </row>
    <row r="60" ht="14.25" customHeight="1">
      <c r="A60" s="2" t="n"/>
      <c r="P60" s="4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6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6" t="n"/>
      <c r="CC60" s="5" t="n"/>
      <c r="CD60" s="5" t="n"/>
      <c r="CG60" s="5" t="n"/>
      <c r="CO60" s="4" t="n"/>
      <c r="CP60" s="4" t="n"/>
    </row>
    <row r="61" ht="14.25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44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6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6" t="n"/>
      <c r="CC61" s="5" t="n"/>
      <c r="CD61" s="5" t="n"/>
      <c r="CG61" s="5" t="n"/>
    </row>
    <row r="62" ht="12.75" customHeight="1">
      <c r="L62" s="44" t="n"/>
      <c r="AH62" s="6" t="n"/>
      <c r="BK62" s="6" t="n"/>
      <c r="CB62" s="6" t="n"/>
      <c r="CC62" s="5" t="n"/>
      <c r="CD62" s="5" t="n"/>
      <c r="CG62" s="5" t="n"/>
    </row>
    <row r="63" ht="12.75" customHeight="1">
      <c r="L63" s="44" t="n"/>
      <c r="AH63" s="6" t="n"/>
      <c r="BK63" s="6" t="n"/>
      <c r="CB63" s="6" t="n"/>
      <c r="CC63" s="5" t="n"/>
      <c r="CD63" s="5" t="n"/>
      <c r="CG63" s="5" t="n"/>
    </row>
    <row r="64" ht="12.75" customHeight="1">
      <c r="AH64" s="6" t="n"/>
      <c r="BK64" s="6" t="n"/>
      <c r="CB64" s="6" t="n"/>
      <c r="CC64" s="5" t="n"/>
      <c r="CD64" s="5" t="n"/>
      <c r="CG64" s="5" t="n"/>
    </row>
    <row r="65" ht="12.75" customHeight="1">
      <c r="B65" s="178" t="inlineStr">
        <is>
          <t>주택변전소 전류상한치</t>
        </is>
      </c>
      <c r="G65" s="46" t="n"/>
      <c r="H65" s="178" t="n"/>
      <c r="K65" s="178" t="n"/>
      <c r="AH65" s="6" t="n"/>
      <c r="BK65" s="6" t="n"/>
      <c r="CB65" s="6" t="n"/>
      <c r="CC65" s="5" t="n"/>
      <c r="CD65" s="5" t="n"/>
      <c r="CG65" s="5" t="n"/>
    </row>
    <row r="66" ht="12.75" customHeight="1">
      <c r="B66" s="6" t="inlineStr">
        <is>
          <t>기가타운</t>
        </is>
      </c>
      <c r="C66" s="48" t="n">
        <v>80</v>
      </c>
      <c r="D66" s="48" t="n"/>
      <c r="E66" s="44" t="n"/>
      <c r="F66" s="48" t="n">
        <v>80</v>
      </c>
      <c r="G66" s="45" t="n"/>
      <c r="H66" s="45" t="n"/>
      <c r="I66" s="44" t="n"/>
      <c r="K66" s="50" t="n"/>
      <c r="L66" s="44" t="n"/>
      <c r="M66" s="44" t="n"/>
      <c r="AH66" s="6" t="n"/>
      <c r="CB66" s="6" t="n"/>
      <c r="CC66" s="5" t="n"/>
      <c r="CD66" s="5" t="n"/>
      <c r="CG66" s="5" t="n"/>
    </row>
    <row r="67" ht="12.75" customHeight="1">
      <c r="B67" s="6" t="inlineStr">
        <is>
          <t>No.3 MAIN</t>
        </is>
      </c>
      <c r="C67" s="48" t="n">
        <v>80</v>
      </c>
      <c r="D67" s="48" t="n"/>
      <c r="E67" s="44" t="n"/>
      <c r="F67" s="48" t="n">
        <v>80</v>
      </c>
      <c r="G67" s="6" t="n"/>
      <c r="H67" s="6" t="n"/>
      <c r="I67" s="44" t="n"/>
      <c r="K67" s="50" t="n"/>
      <c r="L67" s="44" t="n"/>
      <c r="M67" s="44" t="n"/>
      <c r="AH67" s="6" t="n"/>
      <c r="CB67" s="6" t="n"/>
      <c r="CC67" s="5" t="n"/>
      <c r="CD67" s="5" t="n"/>
      <c r="CG67" s="5" t="n"/>
    </row>
    <row r="68" ht="12.75" customHeight="1">
      <c r="B68" s="6" t="inlineStr">
        <is>
          <t xml:space="preserve">No.3 </t>
        </is>
      </c>
      <c r="C68" s="48" t="n">
        <v>280</v>
      </c>
      <c r="D68" s="48" t="n"/>
      <c r="E68" s="44" t="n"/>
      <c r="F68" s="48" t="n">
        <v>280</v>
      </c>
      <c r="G68" s="6" t="n"/>
      <c r="H68" s="6" t="n"/>
      <c r="I68" s="44" t="n"/>
      <c r="K68" s="49" t="n"/>
      <c r="L68" s="44" t="n"/>
      <c r="M68" s="44" t="n"/>
      <c r="AH68" s="6" t="n"/>
      <c r="CB68" s="6" t="n"/>
      <c r="CC68" s="5" t="n"/>
      <c r="CD68" s="5" t="n"/>
      <c r="CG68" s="5" t="n"/>
    </row>
    <row r="69" ht="13.5" customHeight="1">
      <c r="B69" s="6" t="inlineStr">
        <is>
          <t>54,55</t>
        </is>
      </c>
      <c r="C69" s="48" t="n">
        <v>160</v>
      </c>
      <c r="D69" s="48" t="n"/>
      <c r="E69" s="44" t="n"/>
      <c r="F69" s="48" t="n">
        <v>160</v>
      </c>
      <c r="G69" s="6" t="n"/>
      <c r="H69" s="6" t="n"/>
      <c r="I69" s="44" t="n"/>
      <c r="K69" s="49" t="n"/>
      <c r="L69" s="44" t="n"/>
      <c r="M69" s="44" t="n"/>
      <c r="N69" s="47" t="n"/>
      <c r="AH69" s="6" t="n"/>
      <c r="CB69" s="6" t="n"/>
      <c r="CC69" s="5" t="n"/>
      <c r="CD69" s="5" t="n"/>
      <c r="CG69" s="5" t="n"/>
    </row>
    <row r="70" ht="13.5" customHeight="1">
      <c r="B70" s="6" t="inlineStr">
        <is>
          <t>백운쇼핑</t>
        </is>
      </c>
      <c r="C70" s="48" t="n">
        <v>160</v>
      </c>
      <c r="D70" s="48" t="n"/>
      <c r="E70" s="44" t="n"/>
      <c r="F70" s="48" t="n">
        <v>160</v>
      </c>
      <c r="G70" s="6" t="n"/>
      <c r="H70" s="6" t="n"/>
      <c r="I70" s="44" t="n"/>
      <c r="K70" s="49" t="n"/>
      <c r="L70" s="44" t="n"/>
    </row>
    <row r="71" ht="12.75" customHeight="1">
      <c r="B71" s="6" t="n">
        <v>56</v>
      </c>
      <c r="C71" s="48" t="n">
        <v>160</v>
      </c>
      <c r="D71" s="48" t="n"/>
      <c r="E71" s="44" t="n"/>
      <c r="F71" s="48" t="n">
        <v>160</v>
      </c>
      <c r="G71" s="6" t="n"/>
      <c r="H71" s="6" t="n"/>
      <c r="I71" s="44" t="n"/>
      <c r="K71" s="49" t="n"/>
      <c r="L71" s="44" t="n"/>
    </row>
    <row r="72" ht="13.5" customHeight="1">
      <c r="B72" s="6" t="inlineStr">
        <is>
          <t>아트홀</t>
        </is>
      </c>
      <c r="C72" s="48" t="n">
        <v>160</v>
      </c>
      <c r="D72" s="48" t="n"/>
      <c r="E72" s="44" t="n"/>
      <c r="F72" s="48" t="n">
        <v>160</v>
      </c>
      <c r="G72" s="6" t="n"/>
      <c r="H72" s="6" t="n"/>
      <c r="I72" s="44" t="n"/>
      <c r="K72" s="49" t="n"/>
      <c r="L72" s="44" t="n"/>
    </row>
    <row r="73" ht="13.5" customHeight="1">
      <c r="B73" s="6" t="inlineStr">
        <is>
          <t>백은GL</t>
        </is>
      </c>
      <c r="C73" s="48" t="n">
        <v>16</v>
      </c>
      <c r="D73" s="48" t="n"/>
      <c r="E73" s="44" t="n"/>
      <c r="F73" s="48" t="n">
        <v>16</v>
      </c>
      <c r="G73" s="45" t="n"/>
      <c r="H73" s="45" t="n"/>
      <c r="I73" s="44" t="n"/>
      <c r="K73" s="49" t="n"/>
      <c r="L73" s="44" t="n"/>
    </row>
    <row r="74" ht="12.75" customHeight="1">
      <c r="B74" s="6" t="inlineStr">
        <is>
          <t>기술교육센터</t>
        </is>
      </c>
      <c r="C74" s="48" t="n">
        <v>120</v>
      </c>
      <c r="D74" s="48" t="n"/>
      <c r="E74" s="44" t="n"/>
      <c r="F74" s="48" t="n">
        <v>120</v>
      </c>
      <c r="G74" s="6" t="n"/>
      <c r="H74" s="6" t="n"/>
      <c r="K74" s="49" t="n"/>
      <c r="L74" s="44" t="n"/>
    </row>
    <row r="75" ht="12.75" customHeight="1">
      <c r="B75" s="6" t="inlineStr">
        <is>
          <t>제철회관</t>
        </is>
      </c>
      <c r="C75" s="48" t="n">
        <v>66</v>
      </c>
      <c r="D75" s="48" t="n"/>
      <c r="E75" s="44" t="n"/>
      <c r="F75" s="48" t="n">
        <v>66</v>
      </c>
      <c r="G75" s="6" t="n"/>
      <c r="H75" s="6" t="n"/>
      <c r="K75" s="49" t="n"/>
      <c r="L75" s="44" t="n"/>
    </row>
    <row r="76" ht="13.5" customHeight="1">
      <c r="B76" s="6" t="inlineStr">
        <is>
          <t>No.2</t>
        </is>
      </c>
      <c r="C76" s="48" t="n">
        <v>280</v>
      </c>
      <c r="D76" s="48" t="n"/>
      <c r="E76" s="44" t="n"/>
      <c r="F76" s="48" t="n">
        <v>280</v>
      </c>
      <c r="G76" s="6" t="n"/>
      <c r="H76" s="6" t="n"/>
      <c r="K76" s="49" t="n"/>
      <c r="L76" s="44" t="n"/>
    </row>
    <row r="77" ht="12.75" customHeight="1">
      <c r="B77" s="6" t="n">
        <v>51.52</v>
      </c>
      <c r="C77" s="48" t="n">
        <v>160</v>
      </c>
      <c r="D77" s="48" t="n"/>
      <c r="E77" s="44" t="n"/>
      <c r="F77" s="48" t="n">
        <v>160</v>
      </c>
      <c r="G77" s="6" t="n"/>
      <c r="H77" s="6" t="n"/>
      <c r="K77" s="49" t="n"/>
      <c r="L77" s="44" t="n"/>
    </row>
    <row r="78" ht="13.5" customHeight="1">
      <c r="B78" s="6" t="inlineStr">
        <is>
          <t>7,8</t>
        </is>
      </c>
      <c r="C78" s="48" t="n">
        <v>80</v>
      </c>
      <c r="D78" s="48" t="n"/>
      <c r="E78" s="44" t="n"/>
      <c r="F78" s="48" t="n">
        <v>80</v>
      </c>
      <c r="G78" s="6" t="n"/>
      <c r="H78" s="6" t="n"/>
      <c r="K78" s="49" t="n"/>
      <c r="L78" s="44" t="n"/>
    </row>
    <row r="79" ht="13.5" customHeight="1">
      <c r="B79" s="6" t="n">
        <v>53</v>
      </c>
      <c r="C79" s="48" t="n">
        <v>160</v>
      </c>
      <c r="D79" s="48" t="n"/>
      <c r="E79" s="44" t="n"/>
      <c r="F79" s="48" t="n">
        <v>160</v>
      </c>
      <c r="G79" s="6" t="n"/>
      <c r="H79" s="6" t="n"/>
      <c r="K79" s="49" t="n"/>
      <c r="L79" s="44" t="n"/>
    </row>
    <row r="80" ht="13.5" customHeight="1">
      <c r="B80" s="6" t="inlineStr">
        <is>
          <t>웰빙마트</t>
        </is>
      </c>
      <c r="C80" s="48" t="n">
        <v>52</v>
      </c>
      <c r="D80" s="48" t="n"/>
      <c r="E80" s="44" t="n"/>
      <c r="F80" s="48" t="n">
        <v>52</v>
      </c>
      <c r="G80" s="6" t="n"/>
      <c r="H80" s="6" t="n"/>
      <c r="K80" s="49" t="n"/>
      <c r="L80" s="51" t="n"/>
    </row>
    <row r="81" ht="13.5" customHeight="1">
      <c r="B81" s="6" t="inlineStr">
        <is>
          <t>주민자치</t>
        </is>
      </c>
      <c r="C81" s="48" t="n">
        <v>80</v>
      </c>
      <c r="D81" s="48" t="n"/>
      <c r="E81" s="44" t="n"/>
      <c r="F81" s="48" t="n">
        <v>80</v>
      </c>
      <c r="G81" s="6" t="n"/>
      <c r="H81" s="6" t="n"/>
      <c r="K81" s="49" t="n"/>
      <c r="L81" s="51" t="n"/>
    </row>
    <row r="82" ht="13.5" customHeight="1">
      <c r="B82" s="6" t="inlineStr">
        <is>
          <t>57,60</t>
        </is>
      </c>
      <c r="C82" s="48" t="n">
        <v>80</v>
      </c>
      <c r="D82" s="48" t="n"/>
      <c r="E82" s="44" t="n"/>
      <c r="F82" s="48" t="n">
        <v>80</v>
      </c>
      <c r="G82" s="6" t="n"/>
      <c r="H82" s="6" t="n"/>
      <c r="K82" s="49" t="n"/>
      <c r="L82" s="51" t="n"/>
    </row>
    <row r="83" ht="12.75" customHeight="1">
      <c r="B83" s="6" t="inlineStr">
        <is>
          <t>휴먼센터</t>
        </is>
      </c>
      <c r="C83" s="48" t="n">
        <v>80</v>
      </c>
      <c r="D83" s="48" t="n"/>
      <c r="E83" s="44" t="n"/>
      <c r="F83" s="48" t="n">
        <v>80</v>
      </c>
      <c r="G83" s="6" t="n"/>
      <c r="H83" s="6" t="n"/>
    </row>
    <row r="84" ht="12.75" customHeight="1">
      <c r="B84" s="6" t="inlineStr">
        <is>
          <t>제철학원</t>
        </is>
      </c>
      <c r="C84" s="48" t="n">
        <v>80</v>
      </c>
      <c r="D84" s="48" t="n"/>
      <c r="E84" s="44" t="n"/>
      <c r="F84" s="48" t="n">
        <v>80</v>
      </c>
      <c r="G84" s="6" t="n"/>
      <c r="H84" s="6" t="n"/>
    </row>
    <row r="85" ht="12.75" customHeight="1">
      <c r="B85" s="6" t="inlineStr">
        <is>
          <t>No.1,2 MAIN</t>
        </is>
      </c>
      <c r="C85" s="48" t="n">
        <v>160</v>
      </c>
      <c r="D85" s="48" t="n"/>
      <c r="E85" s="44" t="n"/>
      <c r="F85" s="48" t="n">
        <v>160</v>
      </c>
      <c r="G85" s="6" t="n"/>
      <c r="H85" s="6" t="n"/>
    </row>
    <row r="86" ht="12.75" customHeight="1">
      <c r="B86" s="6" t="inlineStr">
        <is>
          <t>No.1</t>
        </is>
      </c>
      <c r="C86" s="48" t="n">
        <v>280</v>
      </c>
      <c r="D86" s="48" t="n"/>
      <c r="E86" s="44" t="n"/>
      <c r="F86" s="48" t="n">
        <v>280</v>
      </c>
      <c r="G86" s="6" t="n"/>
      <c r="H86" s="6" t="n"/>
    </row>
    <row r="87" ht="12.75" customHeight="1">
      <c r="B87" s="6" t="inlineStr">
        <is>
          <t>몰오브</t>
        </is>
      </c>
      <c r="C87" s="48" t="n">
        <v>168</v>
      </c>
      <c r="D87" s="48" t="n"/>
      <c r="E87" s="44" t="n"/>
      <c r="F87" s="48" t="n">
        <v>168</v>
      </c>
      <c r="G87" s="6" t="n"/>
      <c r="H87" s="6" t="n"/>
    </row>
    <row r="88" ht="12.75" customHeight="1">
      <c r="B88" s="6" t="n">
        <v>18</v>
      </c>
      <c r="C88" s="48" t="n">
        <v>120</v>
      </c>
      <c r="D88" s="48" t="n"/>
      <c r="E88" s="44" t="n"/>
      <c r="F88" s="48" t="n">
        <v>120</v>
      </c>
      <c r="G88" s="6" t="n"/>
      <c r="H88" s="6" t="n"/>
    </row>
    <row r="89" ht="12.75" customHeight="1">
      <c r="B89" s="6" t="inlineStr">
        <is>
          <t>12,16</t>
        </is>
      </c>
      <c r="C89" s="48" t="n">
        <v>120</v>
      </c>
      <c r="D89" s="48" t="n"/>
      <c r="E89" s="44" t="n"/>
      <c r="F89" s="48" t="n">
        <v>120</v>
      </c>
      <c r="G89" s="6" t="n"/>
      <c r="H89" s="6" t="n"/>
    </row>
    <row r="90" ht="12.75" customHeight="1">
      <c r="B90" s="6" t="n">
        <v>6</v>
      </c>
      <c r="C90" s="48" t="n">
        <v>160</v>
      </c>
      <c r="D90" s="48" t="n"/>
      <c r="E90" s="44" t="n"/>
      <c r="F90" s="48" t="n">
        <v>160</v>
      </c>
      <c r="G90" s="6" t="n"/>
      <c r="H90" s="6" t="n"/>
    </row>
    <row r="91" ht="12.75" customHeight="1">
      <c r="B91" s="6" t="inlineStr">
        <is>
          <t>제철남초</t>
        </is>
      </c>
      <c r="C91" s="48" t="n">
        <v>160</v>
      </c>
      <c r="D91" s="48" t="n"/>
      <c r="E91" s="44" t="n"/>
      <c r="F91" s="48" t="n">
        <v>160</v>
      </c>
      <c r="G91" s="6" t="n"/>
      <c r="H91" s="6" t="n"/>
    </row>
    <row r="92" ht="12.75" customHeight="1">
      <c r="B92" s="6" t="inlineStr">
        <is>
          <t>동백APT</t>
        </is>
      </c>
      <c r="C92" s="48" t="n">
        <v>52</v>
      </c>
      <c r="D92" s="48" t="n"/>
      <c r="E92" s="44" t="n"/>
      <c r="F92" s="48" t="n">
        <v>52</v>
      </c>
      <c r="G92" s="6" t="n"/>
      <c r="H92" s="6" t="n"/>
    </row>
    <row r="93" ht="12.75" customHeight="1">
      <c r="B93" s="6" t="n"/>
    </row>
  </sheetData>
  <mergeCells count="73">
    <mergeCell ref="BP3:BR3"/>
    <mergeCell ref="CG3:CI3"/>
    <mergeCell ref="CB3:CD3"/>
    <mergeCell ref="X28:Z28"/>
    <mergeCell ref="H28:N28"/>
    <mergeCell ref="AD28:AF28"/>
    <mergeCell ref="N42:P42"/>
    <mergeCell ref="N40:Q40"/>
    <mergeCell ref="W3:Y3"/>
    <mergeCell ref="M39:M42"/>
    <mergeCell ref="B3:B6"/>
    <mergeCell ref="CM2:CR2"/>
    <mergeCell ref="CF51:CG51"/>
    <mergeCell ref="CB2:CL2"/>
    <mergeCell ref="M16:O16"/>
    <mergeCell ref="F40:G40"/>
    <mergeCell ref="AL3:AN3"/>
    <mergeCell ref="H40:I40"/>
    <mergeCell ref="P16:R16"/>
    <mergeCell ref="J40:K40"/>
    <mergeCell ref="Y16:AA16"/>
    <mergeCell ref="U28:W28"/>
    <mergeCell ref="S39:W39"/>
    <mergeCell ref="CE3:CF3"/>
    <mergeCell ref="CD51:CE51"/>
    <mergeCell ref="M3:O3"/>
    <mergeCell ref="CQ3:CR3"/>
    <mergeCell ref="B2:U2"/>
    <mergeCell ref="AX3:AZ3"/>
    <mergeCell ref="AI3:AK3"/>
    <mergeCell ref="F16:L16"/>
    <mergeCell ref="CO51:CP51"/>
    <mergeCell ref="P3:R3"/>
    <mergeCell ref="F27:AF27"/>
    <mergeCell ref="V16:X16"/>
    <mergeCell ref="F39:K39"/>
    <mergeCell ref="B28:B31"/>
    <mergeCell ref="N39:R39"/>
    <mergeCell ref="BJ3:BL3"/>
    <mergeCell ref="AH16:AJ16"/>
    <mergeCell ref="AU3:AW3"/>
    <mergeCell ref="B40:B43"/>
    <mergeCell ref="BV3:BX3"/>
    <mergeCell ref="V2:AZ2"/>
    <mergeCell ref="BA3:BB3"/>
    <mergeCell ref="AR3:AT3"/>
    <mergeCell ref="F3:L3"/>
    <mergeCell ref="F28:G28"/>
    <mergeCell ref="AF3:AH3"/>
    <mergeCell ref="H65:I65"/>
    <mergeCell ref="S16:U16"/>
    <mergeCell ref="O28:Q28"/>
    <mergeCell ref="AE16:AG16"/>
    <mergeCell ref="B65:F65"/>
    <mergeCell ref="F15:AJ15"/>
    <mergeCell ref="CJ3:CL3"/>
    <mergeCell ref="BM3:BO3"/>
    <mergeCell ref="BS3:BU3"/>
    <mergeCell ref="B16:B19"/>
    <mergeCell ref="AA28:AC28"/>
    <mergeCell ref="CB51:CC51"/>
    <mergeCell ref="K65:L65"/>
    <mergeCell ref="R28:T28"/>
    <mergeCell ref="CM3:CN3"/>
    <mergeCell ref="BC3:BI3"/>
    <mergeCell ref="CO3:CP3"/>
    <mergeCell ref="AC3:AE3"/>
    <mergeCell ref="S3:U3"/>
    <mergeCell ref="BA2:CA2"/>
    <mergeCell ref="C3:D3"/>
    <mergeCell ref="AO3:AQ3"/>
    <mergeCell ref="AB16:AD16"/>
    <mergeCell ref="BY3:CA3"/>
  </mergeCells>
  <conditionalFormatting sqref="D7:D8 CC55">
    <cfRule type="expression" priority="87" dxfId="2">
      <formula>D7:D12&gt;$C$66</formula>
    </cfRule>
  </conditionalFormatting>
  <conditionalFormatting sqref="D7:D12">
    <cfRule type="expression" priority="170" dxfId="1">
      <formula>AND(D7&lt;&gt;"", INDIRECT("'"&amp;$A$1&amp;"'!"&amp;CELL("address",D7))&lt;&gt;"", D7 &gt;= INDIRECT("'"&amp;$A$1&amp;"'!"&amp;CELL("address",D7))*1.2)</formula>
    </cfRule>
    <cfRule type="expression" priority="171" dxfId="0">
      <formula>AND(D7&lt;&gt;"", INDIRECT("'"&amp;$A$1&amp;"'!"&amp;CELL("address",D7))&lt;&gt;"", D7 &lt;= INDIRECT("'"&amp;$A$1&amp;"'!"&amp;CELL("address",D7))*0.8)</formula>
    </cfRule>
  </conditionalFormatting>
  <conditionalFormatting sqref="D9:D12">
    <cfRule type="expression" priority="430" dxfId="2">
      <formula>D9:D51&gt;$C$66</formula>
    </cfRule>
  </conditionalFormatting>
  <conditionalFormatting sqref="G32:G33">
    <cfRule type="expression" priority="23" dxfId="2">
      <formula>G32:G37&gt;$C$85</formula>
    </cfRule>
  </conditionalFormatting>
  <conditionalFormatting sqref="G32:G37 K32:K37 P32:P37 S32:S37 V32:V37 Y32:Y37 AB32:AB37 AE32:AE37">
    <cfRule type="expression" priority="22" dxfId="96">
      <formula>AND(G32&lt;&gt;"", INDIRECT("'"&amp;$A$1&amp;"'!"&amp;CELL("address",G32))&lt;&gt;"", G32 &lt;= INDIRECT("'"&amp;$A$1&amp;"'!"&amp;CELL("address",G32))*0.8)</formula>
    </cfRule>
  </conditionalFormatting>
  <conditionalFormatting sqref="G44:G49 I44:I49 K44:K49">
    <cfRule type="expression" priority="4" dxfId="1">
      <formula>AND(G44&lt;&gt;"", INDIRECT("'"&amp;$A$1&amp;"'!"&amp;CELL("address",G44))&lt;&gt;"", G44 &gt;= INDIRECT("'"&amp;$A$1&amp;"'!"&amp;CELL("address",G44))*1.2)</formula>
    </cfRule>
    <cfRule type="expression" priority="5" dxfId="0">
      <formula>AND(G44&lt;&gt;"", INDIRECT("'"&amp;$A$1&amp;"'!"&amp;CELL("address",G44))&lt;&gt;"", G44 &lt;= INDIRECT("'"&amp;$A$1&amp;"'!"&amp;CELL("address",G44))*0.8)</formula>
    </cfRule>
  </conditionalFormatting>
  <conditionalFormatting sqref="G46:G49">
    <cfRule type="expression" priority="412" dxfId="2">
      <formula>G46:G94&gt;$C$67</formula>
    </cfRule>
    <cfRule type="expression" priority="413" dxfId="1">
      <formula>AND(G46&lt;&gt;"", INDIRECT("'"&amp;$A$1&amp;"'!"&amp;CELL("address",G46))&lt;&gt;"", G46 &gt;= INDIRECT("'"&amp;$A$1&amp;"'!"&amp;CELL("address",G46))*1.2)</formula>
    </cfRule>
    <cfRule type="expression" priority="414" dxfId="0">
      <formula>AND(G46&lt;&gt;"", INDIRECT("'"&amp;$A$1&amp;"'!"&amp;CELL("address",G46))&lt;&gt;"", G46 &lt;= INDIRECT("'"&amp;$A$1&amp;"'!"&amp;CELL("address",G46))*0.8)</formula>
    </cfRule>
  </conditionalFormatting>
  <conditionalFormatting sqref="I7:I8">
    <cfRule type="expression" priority="176" dxfId="2">
      <formula>I7:I12&gt;$C$68</formula>
    </cfRule>
  </conditionalFormatting>
  <conditionalFormatting sqref="I7:I12 N7:N12 Q7:Q12 T7:T12 Y7:Y12 AD7:AD12 AG7:AG12 AJ7:AJ12 AM7:AM12 AP7:AP12 AS7:AS12 AV7:AV12 AY7:AY12 BB7:BB12 BF7:BF12 BK7:BK12 BN7:BN12 BQ7:BQ12 BT7:BT12 BW7:BW12 BZ7:BZ12">
    <cfRule type="expression" priority="157" dxfId="96">
      <formula>AND(I7&lt;&gt;"", INDIRECT("'"&amp;$A$1&amp;"'!"&amp;CELL("address",I7))&lt;&gt;"", I7 &lt;= INDIRECT("'"&amp;$A$1&amp;"'!"&amp;CELL("address",I7))*0.8)</formula>
    </cfRule>
  </conditionalFormatting>
  <conditionalFormatting sqref="I9:I12">
    <cfRule type="expression" priority="431" dxfId="2">
      <formula>I9:I51&gt;$C$68</formula>
    </cfRule>
  </conditionalFormatting>
  <conditionalFormatting sqref="I20:I21">
    <cfRule type="expression" priority="41" dxfId="2">
      <formula>I20:I25&gt;$C$76</formula>
    </cfRule>
  </conditionalFormatting>
  <conditionalFormatting sqref="I20:I25 N20:N25 Q20:Q25 T20:T25 W20:W25 Z20:Z25 AC20:AC25 AF20:AF25 AI20:AI25">
    <cfRule type="expression" priority="40" dxfId="96">
      <formula>AND(I20&lt;&gt;"", INDIRECT("'"&amp;$A$1&amp;"'!"&amp;CELL("address",I20))&lt;&gt;"", I20 &lt;= INDIRECT("'"&amp;$A$1&amp;"'!"&amp;CELL("address",I20))*0.8)</formula>
    </cfRule>
  </conditionalFormatting>
  <conditionalFormatting sqref="I46:I49">
    <cfRule type="expression" priority="500" dxfId="2">
      <formula>I46:I94&gt;$C$66</formula>
    </cfRule>
    <cfRule type="expression" priority="501" dxfId="1">
      <formula>AND(I46&lt;&gt;"", INDIRECT("'"&amp;$A$1&amp;"'!"&amp;CELL("address",I46))&lt;&gt;"", I46 &gt;= INDIRECT("'"&amp;$A$1&amp;"'!"&amp;CELL("address",I46))*1.2)</formula>
    </cfRule>
    <cfRule type="expression" priority="502" dxfId="0">
      <formula>AND(I46&lt;&gt;"", INDIRECT("'"&amp;$A$1&amp;"'!"&amp;CELL("address",I46))&lt;&gt;"", I46 &lt;= INDIRECT("'"&amp;$A$1&amp;"'!"&amp;CELL("address",I46))*0.8)</formula>
    </cfRule>
  </conditionalFormatting>
  <conditionalFormatting sqref="K32:K33">
    <cfRule type="expression" priority="25" dxfId="2">
      <formula>K32:K37&gt;$C$86</formula>
    </cfRule>
  </conditionalFormatting>
  <conditionalFormatting sqref="K46:K49">
    <cfRule type="expression" priority="503" dxfId="2">
      <formula>K46:K94&gt;$C$85</formula>
    </cfRule>
    <cfRule type="expression" priority="504" dxfId="1">
      <formula>AND(K46&lt;&gt;"", INDIRECT("'"&amp;$A$1&amp;"'!"&amp;CELL("address",K46))&lt;&gt;"", K46 &gt;= INDIRECT("'"&amp;$A$1&amp;"'!"&amp;CELL("address",K46))*1.2)</formula>
    </cfRule>
    <cfRule type="expression" priority="505" dxfId="0">
      <formula>AND(K46&lt;&gt;"", INDIRECT("'"&amp;$A$1&amp;"'!"&amp;CELL("address",K46))&lt;&gt;"", K46 &lt;= INDIRECT("'"&amp;$A$1&amp;"'!"&amp;CELL("address",K46))*0.8)</formula>
    </cfRule>
  </conditionalFormatting>
  <conditionalFormatting sqref="L7:L12 O7:O12 R7:R12 U7:U12 AB7:AB12 AE7:AE12 AH7:AH12 AK7:AK12 AN7:AN12 AQ7:AQ12 AT7:AT12 AW7:AW12 AZ7:AZ12 BI7:BI12 BL7:BL12 BO7:BO12 BR7:BR12 BU7:BU12 BX7:BX12 CA7:CA12 CI7:CI12 CL7:CL12">
    <cfRule type="expression" priority="115" dxfId="83">
      <formula>AND(L7&lt;&gt;"", INDIRECT("'"&amp;$A$1&amp;"'!"&amp;CELL("address",L7))&lt;&gt;"", ABS(1 - L7/INDIRECT("'"&amp;$A$1&amp;"'!"&amp;CELL("address",L7))) &gt;= 0.01)</formula>
    </cfRule>
  </conditionalFormatting>
  <conditionalFormatting sqref="L20:L25 O20:O25 R20:R25 U20:U25 X20:X25 AA20:AA25 AD20:AD25 AG20:AG25 AJ20:AJ25">
    <cfRule type="expression" priority="39" dxfId="83">
      <formula>AND(L20&lt;&gt;"", INDIRECT("'"&amp;$A$1&amp;"'!"&amp;CELL("address",L20))&lt;&gt;"", ABS(1 - L20/INDIRECT("'"&amp;$A$1&amp;"'!"&amp;CELL("address",L20))) &gt;= 0.01)</formula>
    </cfRule>
  </conditionalFormatting>
  <conditionalFormatting sqref="N7:N8">
    <cfRule type="expression" priority="178" dxfId="2">
      <formula>N7:N12&gt;$C$69</formula>
    </cfRule>
  </conditionalFormatting>
  <conditionalFormatting sqref="N9:N12">
    <cfRule type="expression" priority="432" dxfId="2">
      <formula>N9:N51&gt;$C$69</formula>
    </cfRule>
  </conditionalFormatting>
  <conditionalFormatting sqref="N20:N21">
    <cfRule type="expression" priority="43" dxfId="2">
      <formula>N20:N25&gt;$C$77</formula>
    </cfRule>
  </conditionalFormatting>
  <conditionalFormatting sqref="N32:N37 Q32:Q37 T32:T37 W32:W37 Z32:Z37 AC32:AC37 AF32:AF37">
    <cfRule type="expression" priority="21" dxfId="83">
      <formula>AND(N32&lt;&gt;"", INDIRECT("'"&amp;$A$1&amp;"'!"&amp;CELL("address",N32))&lt;&gt;"", ABS(1 - N32/INDIRECT("'"&amp;$A$1&amp;"'!"&amp;CELL("address",N32))) &gt;= 0.01)</formula>
    </cfRule>
  </conditionalFormatting>
  <conditionalFormatting sqref="P32:P33">
    <cfRule type="expression" priority="27" dxfId="2">
      <formula>P32:P37&gt;$C$87</formula>
    </cfRule>
  </conditionalFormatting>
  <conditionalFormatting sqref="Q7:Q8">
    <cfRule type="expression" priority="180" dxfId="2">
      <formula>Q7:Q12&gt;$C$70</formula>
    </cfRule>
  </conditionalFormatting>
  <conditionalFormatting sqref="Q9:Q12">
    <cfRule type="expression" priority="433" dxfId="2">
      <formula>Q9:Q51&gt;$C$70</formula>
    </cfRule>
  </conditionalFormatting>
  <conditionalFormatting sqref="Q20:Q21">
    <cfRule type="expression" priority="45" dxfId="2">
      <formula>Q20:Q25&gt;$C$78</formula>
    </cfRule>
  </conditionalFormatting>
  <conditionalFormatting sqref="S32:S33">
    <cfRule type="expression" priority="29" dxfId="2">
      <formula>S32:S37&gt;$C$88</formula>
    </cfRule>
  </conditionalFormatting>
  <conditionalFormatting sqref="T7:T8">
    <cfRule type="expression" priority="182" dxfId="2">
      <formula>T7:T12&gt;$C$71</formula>
    </cfRule>
  </conditionalFormatting>
  <conditionalFormatting sqref="T9:T12">
    <cfRule type="expression" priority="434" dxfId="2">
      <formula>T9:T51&gt;$C$71</formula>
    </cfRule>
  </conditionalFormatting>
  <conditionalFormatting sqref="T20:T21">
    <cfRule type="expression" priority="47" dxfId="2">
      <formula>T20:T25&gt;$C$79</formula>
    </cfRule>
  </conditionalFormatting>
  <conditionalFormatting sqref="V32:V33">
    <cfRule type="expression" priority="31" dxfId="2">
      <formula>V32:V37&gt;$C$89</formula>
    </cfRule>
  </conditionalFormatting>
  <conditionalFormatting sqref="W20:W21">
    <cfRule type="expression" priority="49" dxfId="2">
      <formula>W20:W25&gt;$C$80</formula>
    </cfRule>
  </conditionalFormatting>
  <conditionalFormatting sqref="Y7:Y8">
    <cfRule type="expression" priority="184" dxfId="2">
      <formula>Y7:Y12&gt;$C$76</formula>
    </cfRule>
  </conditionalFormatting>
  <conditionalFormatting sqref="I22:I25 Y9:Y12">
    <cfRule type="expression" priority="435" dxfId="2">
      <formula>I9:I51&gt;$C$76</formula>
    </cfRule>
  </conditionalFormatting>
  <conditionalFormatting sqref="Y32:Y33">
    <cfRule type="expression" priority="33" dxfId="2">
      <formula>Y32:Y37&gt;$C$90</formula>
    </cfRule>
  </conditionalFormatting>
  <conditionalFormatting sqref="Z20:Z21">
    <cfRule type="expression" priority="51" dxfId="2">
      <formula>Z20:Z25&gt;$C$81</formula>
    </cfRule>
  </conditionalFormatting>
  <conditionalFormatting sqref="AB32:AB33">
    <cfRule type="expression" priority="35" dxfId="2">
      <formula>AB32:AB37&gt;$C$91</formula>
    </cfRule>
  </conditionalFormatting>
  <conditionalFormatting sqref="AC20:AC21">
    <cfRule type="expression" priority="53" dxfId="2">
      <formula>AC20:AC25&gt;$C$82</formula>
    </cfRule>
  </conditionalFormatting>
  <conditionalFormatting sqref="AD7:AD8">
    <cfRule type="expression" priority="186" dxfId="2">
      <formula>AD7:AD12&gt;$C$77</formula>
    </cfRule>
  </conditionalFormatting>
  <conditionalFormatting sqref="N22:N25 AD9:AD12">
    <cfRule type="expression" priority="437" dxfId="2">
      <formula>N9:N51&gt;$C$77</formula>
    </cfRule>
  </conditionalFormatting>
  <conditionalFormatting sqref="AD13:AD14 AD26 AD38:AD51">
    <cfRule type="expression" priority="79" dxfId="64">
      <formula>AND(AD13&lt;&gt;"", INDIRECT("'" &amp; ($A$1-1) &amp; "일'!" &amp; CELL("address", AD13))&lt;&gt;"", AD13 &gt; INDIRECT("'" &amp; ($A$1-1) &amp; "일'!" &amp; CELL("address", AD13))*1.2)</formula>
    </cfRule>
  </conditionalFormatting>
  <conditionalFormatting sqref="AE32:AE33">
    <cfRule type="expression" priority="37" dxfId="2">
      <formula>AE32:AE37&gt;$C$92</formula>
    </cfRule>
  </conditionalFormatting>
  <conditionalFormatting sqref="AF20:AF21">
    <cfRule type="expression" priority="55" dxfId="2">
      <formula>AF20:AF25&gt;$C$83</formula>
    </cfRule>
  </conditionalFormatting>
  <conditionalFormatting sqref="AG7:AG8">
    <cfRule type="expression" priority="188" dxfId="2">
      <formula>AG7:AG12&gt;$C$78</formula>
    </cfRule>
  </conditionalFormatting>
  <conditionalFormatting sqref="Q22:Q25 AG9:AG12">
    <cfRule type="expression" priority="439" dxfId="2">
      <formula>Q9:Q51&gt;$C$78</formula>
    </cfRule>
  </conditionalFormatting>
  <conditionalFormatting sqref="AI20:AI21">
    <cfRule type="expression" priority="57" dxfId="2">
      <formula>AI20:AI25&gt;$C$84</formula>
    </cfRule>
  </conditionalFormatting>
  <conditionalFormatting sqref="AJ7:AJ8">
    <cfRule type="expression" priority="190" dxfId="2">
      <formula>AJ7:AJ12&gt;$C$79</formula>
    </cfRule>
  </conditionalFormatting>
  <conditionalFormatting sqref="T22:T25 AJ9:AJ12">
    <cfRule type="expression" priority="441" dxfId="2">
      <formula>T9:T51&gt;$C$79</formula>
    </cfRule>
  </conditionalFormatting>
  <conditionalFormatting sqref="AM7:AM8">
    <cfRule type="expression" priority="192" dxfId="2">
      <formula>AM7:AM12&gt;$C$80</formula>
    </cfRule>
  </conditionalFormatting>
  <conditionalFormatting sqref="W22:W25 AM9:AM12">
    <cfRule type="expression" priority="443" dxfId="2">
      <formula>W9:W51&gt;$C$80</formula>
    </cfRule>
  </conditionalFormatting>
  <conditionalFormatting sqref="AP7:AP8">
    <cfRule type="expression" priority="194" dxfId="2">
      <formula>AP7:AP12&gt;$C$81</formula>
    </cfRule>
  </conditionalFormatting>
  <conditionalFormatting sqref="Z22:Z25 AP9:AP12">
    <cfRule type="expression" priority="445" dxfId="2">
      <formula>Z9:Z51&gt;$C$81</formula>
    </cfRule>
  </conditionalFormatting>
  <conditionalFormatting sqref="AS7:AS8">
    <cfRule type="expression" priority="196" dxfId="2">
      <formula>AS7:AS12&gt;$C$82</formula>
    </cfRule>
  </conditionalFormatting>
  <conditionalFormatting sqref="AC22:AC25 AS9:AS12">
    <cfRule type="expression" priority="447" dxfId="2">
      <formula>AC9:AC51&gt;$C$82</formula>
    </cfRule>
  </conditionalFormatting>
  <conditionalFormatting sqref="AV7:AV8">
    <cfRule type="expression" priority="198" dxfId="2">
      <formula>AV7:AV12&gt;$C$83</formula>
    </cfRule>
  </conditionalFormatting>
  <conditionalFormatting sqref="AF22:AF25 AV9:AV12">
    <cfRule type="expression" priority="449" dxfId="2">
      <formula>AF9:AF51&gt;$C$83</formula>
    </cfRule>
  </conditionalFormatting>
  <conditionalFormatting sqref="AY7:AY8">
    <cfRule type="expression" priority="200" dxfId="2">
      <formula>AY7:AY12&gt;$C$84</formula>
    </cfRule>
  </conditionalFormatting>
  <conditionalFormatting sqref="AI22:AI25 AY9:AY12">
    <cfRule type="expression" priority="451" dxfId="2">
      <formula>AI9:AI51&gt;$C$84</formula>
    </cfRule>
  </conditionalFormatting>
  <conditionalFormatting sqref="BB7:BB8">
    <cfRule type="expression" priority="202" dxfId="2">
      <formula>BB7:BB12&gt;$C$85</formula>
    </cfRule>
  </conditionalFormatting>
  <conditionalFormatting sqref="G34:G37 BB9:BB12">
    <cfRule type="expression" priority="453" dxfId="2">
      <formula>G9:G51&gt;$C$85</formula>
    </cfRule>
  </conditionalFormatting>
  <conditionalFormatting sqref="BF7:BF8">
    <cfRule type="expression" priority="204" dxfId="2">
      <formula>BF7:BF12&gt;$C$86</formula>
    </cfRule>
  </conditionalFormatting>
  <conditionalFormatting sqref="K34:K37 BF9:BF12">
    <cfRule type="expression" priority="455" dxfId="2">
      <formula>K9:K51&gt;$C$86</formula>
    </cfRule>
  </conditionalFormatting>
  <conditionalFormatting sqref="BK7:BK8">
    <cfRule type="expression" priority="206" dxfId="2">
      <formula>BK7:BK12&gt;$C$87</formula>
    </cfRule>
  </conditionalFormatting>
  <conditionalFormatting sqref="P34:P37 BK9:BK12">
    <cfRule type="expression" priority="457" dxfId="2">
      <formula>P9:P51&gt;$C$87</formula>
    </cfRule>
  </conditionalFormatting>
  <conditionalFormatting sqref="BN7:BN8">
    <cfRule type="expression" priority="208" dxfId="2">
      <formula>BN7:BN12&gt;$C$88</formula>
    </cfRule>
  </conditionalFormatting>
  <conditionalFormatting sqref="S34:S37 BN9:BN12">
    <cfRule type="expression" priority="459" dxfId="2">
      <formula>S9:S51&gt;$C$88</formula>
    </cfRule>
  </conditionalFormatting>
  <conditionalFormatting sqref="BQ7:BQ8">
    <cfRule type="expression" priority="210" dxfId="2">
      <formula>BQ7:BQ12&gt;$C$89</formula>
    </cfRule>
  </conditionalFormatting>
  <conditionalFormatting sqref="V34:V37 BQ9:BQ12">
    <cfRule type="expression" priority="461" dxfId="2">
      <formula>V9:V51&gt;$C$89</formula>
    </cfRule>
  </conditionalFormatting>
  <conditionalFormatting sqref="BT7:BT8">
    <cfRule type="expression" priority="212" dxfId="2">
      <formula>BT7:BT12&gt;$C$90</formula>
    </cfRule>
  </conditionalFormatting>
  <conditionalFormatting sqref="Y34:Y37 BT9:BT12">
    <cfRule type="expression" priority="463" dxfId="2">
      <formula>Y9:Y51&gt;$C$90</formula>
    </cfRule>
  </conditionalFormatting>
  <conditionalFormatting sqref="BW7:BW8">
    <cfRule type="expression" priority="214" dxfId="2">
      <formula>BW7:BW12&gt;$C$91</formula>
    </cfRule>
  </conditionalFormatting>
  <conditionalFormatting sqref="AB34:AB37 BW9:BW12">
    <cfRule type="expression" priority="465" dxfId="2">
      <formula>AB9:AB51&gt;$C$91</formula>
    </cfRule>
  </conditionalFormatting>
  <conditionalFormatting sqref="BZ7:BZ8">
    <cfRule type="expression" priority="216" dxfId="2">
      <formula>BZ7:BZ12&gt;$C$92</formula>
    </cfRule>
  </conditionalFormatting>
  <conditionalFormatting sqref="AE34:AE37 BZ9:BZ12">
    <cfRule type="expression" priority="467" dxfId="2">
      <formula>AE9:AE51&gt;$C$92</formula>
    </cfRule>
  </conditionalFormatting>
  <conditionalFormatting sqref="CC55 CE55">
    <cfRule type="expression" priority="88" dxfId="1">
      <formula>AND(CC55&lt;&gt;"", INDIRECT("'"&amp;$A$1&amp;"'!"&amp;CELL("address",CC55))&lt;&gt;"", CC55 &gt;= INDIRECT("'"&amp;$A$1&amp;"'!"&amp;CELL("address",CC55))*1.2)</formula>
    </cfRule>
    <cfRule type="expression" priority="89" dxfId="0">
      <formula>AND(CC55&lt;&gt;"", INDIRECT("'"&amp;$A$1&amp;"'!"&amp;CELL("address",CC55))&lt;&gt;"", CC55 &lt;= INDIRECT("'"&amp;$A$1&amp;"'!"&amp;CELL("address",CC55))*0.8)</formula>
    </cfRule>
  </conditionalFormatting>
  <conditionalFormatting sqref="CD7:CD8">
    <cfRule type="expression" priority="218" dxfId="2">
      <formula>CD7:CD12&gt;$C$72</formula>
    </cfRule>
  </conditionalFormatting>
  <conditionalFormatting sqref="CD7:CD12 CF7:CF12 CH7:CH12 CK7:CK12 CN7:CN12 CP7:CP12 CR7:CS12">
    <cfRule type="expression" priority="129" dxfId="1">
      <formula>AND(CD7&lt;&gt;"", INDIRECT("'"&amp;$A$1&amp;"'!"&amp;CELL("address",CD7))&lt;&gt;"", CD7 &gt;= INDIRECT("'"&amp;$A$1&amp;"'!"&amp;CELL("address",CD7))*1.2)</formula>
    </cfRule>
    <cfRule type="expression" priority="130" dxfId="0">
      <formula>AND(CD7&lt;&gt;"", INDIRECT("'"&amp;$A$1&amp;"'!"&amp;CELL("address",CD7))&lt;&gt;"", CD7 &lt;= INDIRECT("'"&amp;$A$1&amp;"'!"&amp;CELL("address",CD7))*0.8)</formula>
    </cfRule>
  </conditionalFormatting>
  <conditionalFormatting sqref="CD9:CD12">
    <cfRule type="expression" priority="469" dxfId="2">
      <formula>CD9:CD51&gt;$C$72</formula>
    </cfRule>
  </conditionalFormatting>
  <conditionalFormatting sqref="CE55">
    <cfRule type="expression" priority="86" dxfId="2">
      <formula>CE55:CE60&gt;$C$67</formula>
    </cfRule>
  </conditionalFormatting>
  <conditionalFormatting sqref="CF7:CF8">
    <cfRule type="expression" priority="220" dxfId="2">
      <formula>CF7:CF12&gt;$C$73</formula>
    </cfRule>
  </conditionalFormatting>
  <conditionalFormatting sqref="CF9:CF12">
    <cfRule type="expression" priority="470" dxfId="2">
      <formula>CF9:CF51&gt;$C$73</formula>
    </cfRule>
  </conditionalFormatting>
  <conditionalFormatting sqref="CH7:CH8">
    <cfRule type="expression" priority="222" dxfId="2">
      <formula>CH7:CH12&gt;$C$74</formula>
    </cfRule>
  </conditionalFormatting>
  <conditionalFormatting sqref="CH9:CH12">
    <cfRule type="expression" priority="471" dxfId="2">
      <formula>CH9:CH51&gt;$C$74</formula>
    </cfRule>
  </conditionalFormatting>
  <conditionalFormatting sqref="CK7:CK8">
    <cfRule type="expression" priority="224" dxfId="2">
      <formula>CK7:CK12&gt;$C$75</formula>
    </cfRule>
  </conditionalFormatting>
  <conditionalFormatting sqref="CK9:CK12">
    <cfRule type="expression" priority="472" dxfId="2">
      <formula>CK9:CK51&gt;$C$75</formula>
    </cfRule>
  </conditionalFormatting>
  <conditionalFormatting sqref="G44:G45 CN7:CN8 CP55:CP60">
    <cfRule type="expression" priority="397" dxfId="2">
      <formula>G7:G12&gt;$C$67</formula>
    </cfRule>
    <cfRule type="expression" priority="398" dxfId="1">
      <formula>AND(G7&lt;&gt;"", INDIRECT("'"&amp;$A$1&amp;"'!"&amp;CELL("address",G7))&lt;&gt;"", G7 &gt;= INDIRECT("'"&amp;$A$1&amp;"'!"&amp;CELL("address",G7))*1.2)</formula>
    </cfRule>
    <cfRule type="expression" priority="399" dxfId="0">
      <formula>AND(G7&lt;&gt;"", INDIRECT("'"&amp;$A$1&amp;"'!"&amp;CELL("address",G7))&lt;&gt;"", G7 &lt;= INDIRECT("'"&amp;$A$1&amp;"'!"&amp;CELL("address",G7))*0.8)</formula>
    </cfRule>
  </conditionalFormatting>
  <conditionalFormatting sqref="CN9:CN12">
    <cfRule type="expression" priority="482" dxfId="2">
      <formula>CN9:CN51&gt;$C$67</formula>
    </cfRule>
    <cfRule type="expression" priority="483" dxfId="1">
      <formula>AND(CN9&lt;&gt;"", INDIRECT("'"&amp;$A$1&amp;"'!"&amp;CELL("address",CN9))&lt;&gt;"", CN9 &gt;= INDIRECT("'"&amp;$A$1&amp;"'!"&amp;CELL("address",CN9))*1.2)</formula>
    </cfRule>
    <cfRule type="expression" priority="484" dxfId="0">
      <formula>AND(CN9&lt;&gt;"", INDIRECT("'"&amp;$A$1&amp;"'!"&amp;CELL("address",CN9))&lt;&gt;"", CN9 &lt;= INDIRECT("'"&amp;$A$1&amp;"'!"&amp;CELL("address",CN9))*0.8)</formula>
    </cfRule>
  </conditionalFormatting>
  <conditionalFormatting sqref="I44:I45 CP7:CP8">
    <cfRule type="expression" priority="485" dxfId="2">
      <formula>I7:I12&gt;$C$66</formula>
    </cfRule>
    <cfRule type="expression" priority="486" dxfId="1">
      <formula>AND(I7&lt;&gt;"", INDIRECT("'"&amp;$A$1&amp;"'!"&amp;CELL("address",I7))&lt;&gt;"", I7 &gt;= INDIRECT("'"&amp;$A$1&amp;"'!"&amp;CELL("address",I7))*1.2)</formula>
    </cfRule>
    <cfRule type="expression" priority="487" dxfId="0">
      <formula>AND(I7&lt;&gt;"", INDIRECT("'"&amp;$A$1&amp;"'!"&amp;CELL("address",I7))&lt;&gt;"", I7 &lt;= INDIRECT("'"&amp;$A$1&amp;"'!"&amp;CELL("address",I7))*0.8)</formula>
    </cfRule>
  </conditionalFormatting>
  <conditionalFormatting sqref="CP9:CP12">
    <cfRule type="expression" priority="491" dxfId="2">
      <formula>CP9:CP51&gt;$C$66</formula>
    </cfRule>
    <cfRule type="expression" priority="492" dxfId="1">
      <formula>AND(CP9&lt;&gt;"", INDIRECT("'"&amp;$A$1&amp;"'!"&amp;CELL("address",CP9))&lt;&gt;"", CP9 &gt;= INDIRECT("'"&amp;$A$1&amp;"'!"&amp;CELL("address",CP9))*1.2)</formula>
    </cfRule>
    <cfRule type="expression" priority="493" dxfId="0">
      <formula>AND(CP9&lt;&gt;"", INDIRECT("'"&amp;$A$1&amp;"'!"&amp;CELL("address",CP9))&lt;&gt;"", CP9 &lt;= INDIRECT("'"&amp;$A$1&amp;"'!"&amp;CELL("address",CP9))*0.8)</formula>
    </cfRule>
  </conditionalFormatting>
  <conditionalFormatting sqref="K44:K45 CG55 CR7:CS8">
    <cfRule type="expression" priority="421" dxfId="2">
      <formula>K7:K12&gt;$C$85</formula>
    </cfRule>
    <cfRule type="expression" priority="422" dxfId="1">
      <formula>AND(K7&lt;&gt;"", INDIRECT("'"&amp;$A$1&amp;"'!"&amp;CELL("address",K7))&lt;&gt;"", K7 &gt;= INDIRECT("'"&amp;$A$1&amp;"'!"&amp;CELL("address",K7))*1.2)</formula>
    </cfRule>
    <cfRule type="expression" priority="423" dxfId="0">
      <formula>AND(K7&lt;&gt;"", INDIRECT("'"&amp;$A$1&amp;"'!"&amp;CELL("address",K7))&lt;&gt;"", K7 &lt;= INDIRECT("'"&amp;$A$1&amp;"'!"&amp;CELL("address",K7))*0.8)</formula>
    </cfRule>
  </conditionalFormatting>
  <conditionalFormatting sqref="CR9:CS12">
    <cfRule type="expression" priority="494" dxfId="2">
      <formula>CR9:CR51&gt;$C$85</formula>
    </cfRule>
    <cfRule type="expression" priority="495" dxfId="1">
      <formula>AND(CR9&lt;&gt;"", INDIRECT("'"&amp;$A$1&amp;"'!"&amp;CELL("address",CR9))&lt;&gt;"", CR9 &gt;= INDIRECT("'"&amp;$A$1&amp;"'!"&amp;CELL("address",CR9))*1.2)</formula>
    </cfRule>
    <cfRule type="expression" priority="496" dxfId="0">
      <formula>AND(CR9&lt;&gt;"", INDIRECT("'"&amp;$A$1&amp;"'!"&amp;CELL("address",CR9))&lt;&gt;"", CR9 &lt;= INDIRECT("'"&amp;$A$1&amp;"'!"&amp;CELL("address",CR9))*0.8)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5"/>
  <sheetViews>
    <sheetView tabSelected="1" zoomScale="85" zoomScaleNormal="85" workbookViewId="0">
      <selection activeCell="X6" sqref="X6"/>
    </sheetView>
  </sheetViews>
  <sheetFormatPr baseColWidth="8" defaultRowHeight="14.25"/>
  <cols>
    <col width="9" customWidth="1" style="32" min="1" max="1"/>
    <col width="14.28515625" customWidth="1" style="32" min="2" max="2"/>
    <col width="15.42578125" customWidth="1" style="226" min="3" max="3"/>
    <col width="15.28515625" customWidth="1" style="226" min="4" max="4"/>
    <col width="17.140625" customWidth="1" style="32" min="5" max="5"/>
    <col width="15.42578125" customWidth="1" style="226" min="6" max="6"/>
    <col width="12.28515625" customWidth="1" style="226" min="7" max="7"/>
    <col width="10.28515625" customWidth="1" style="32" min="8" max="8"/>
    <col width="14.42578125" customWidth="1" style="226" min="9" max="9"/>
    <col width="10.7109375" customWidth="1" style="226" min="10" max="10"/>
    <col width="10.7109375" customWidth="1" style="32" min="11" max="11"/>
    <col width="14.7109375" customWidth="1" style="226" min="12" max="12"/>
    <col width="12.42578125" customWidth="1" style="226" min="13" max="13"/>
    <col width="12.42578125" customWidth="1" style="35" min="14" max="14"/>
    <col width="14.7109375" customWidth="1" style="35" min="15" max="15"/>
    <col width="9" customWidth="1" style="35" min="16" max="16"/>
    <col width="11.140625" customWidth="1" style="35" min="17" max="17"/>
    <col width="14.5703125" customWidth="1" style="35" min="18" max="18"/>
    <col width="10.42578125" customWidth="1" style="35" min="19" max="19"/>
    <col width="13.28515625" customWidth="1" style="35" min="20" max="20"/>
    <col width="15.28515625" customWidth="1" style="35" min="21" max="21"/>
    <col width="12.28515625" customWidth="1" style="35" min="22" max="22"/>
    <col width="11.28515625" customWidth="1" style="35" min="23" max="23"/>
    <col width="16.85546875" customWidth="1" style="35" min="24" max="24"/>
    <col width="13.7109375" customWidth="1" style="35" min="25" max="25"/>
    <col width="19.140625" customWidth="1" style="35" min="26" max="26"/>
    <col width="12.140625" customWidth="1" style="35" min="27" max="27"/>
    <col width="12.140625" customWidth="1" style="36" min="28" max="28"/>
    <col width="9.140625" customWidth="1" style="36" min="29" max="29"/>
    <col width="28.140625" bestFit="1" customWidth="1" style="36" min="30" max="30"/>
    <col width="9.140625" customWidth="1" style="36" min="31" max="255"/>
    <col width="6.140625" customWidth="1" style="36" min="256" max="256"/>
    <col width="9.42578125" customWidth="1" style="36" min="257" max="257"/>
    <col width="12.140625" customWidth="1" style="36" min="258" max="258"/>
    <col width="8.85546875" bestFit="1" customWidth="1" style="36" min="259" max="259"/>
    <col width="9.42578125" customWidth="1" style="36" min="260" max="260"/>
    <col width="11.5703125" customWidth="1" style="36" min="261" max="261"/>
    <col width="5.42578125" customWidth="1" style="36" min="262" max="262"/>
    <col width="9.42578125" customWidth="1" style="36" min="263" max="263"/>
    <col width="11.5703125" customWidth="1" style="36" min="264" max="264"/>
    <col width="5.42578125" customWidth="1" style="36" min="265" max="265"/>
    <col width="9.42578125" customWidth="1" style="36" min="266" max="266"/>
    <col width="11.5703125" customWidth="1" style="36" min="267" max="267"/>
    <col width="5.42578125" customWidth="1" style="36" min="268" max="268"/>
    <col width="9.42578125" customWidth="1" style="36" min="269" max="269"/>
    <col width="11.5703125" customWidth="1" style="36" min="270" max="270"/>
    <col width="5.42578125" customWidth="1" style="36" min="271" max="271"/>
    <col width="9.42578125" customWidth="1" style="36" min="272" max="272"/>
    <col width="11.5703125" customWidth="1" style="36" min="273" max="273"/>
    <col width="5.42578125" customWidth="1" style="36" min="274" max="274"/>
    <col width="9.42578125" customWidth="1" style="36" min="275" max="275"/>
    <col width="11.5703125" customWidth="1" style="36" min="276" max="276"/>
    <col width="5.42578125" customWidth="1" style="36" min="277" max="277"/>
    <col width="9.42578125" customWidth="1" style="36" min="278" max="278"/>
    <col width="11.5703125" customWidth="1" style="36" min="279" max="279"/>
    <col width="8.5703125" bestFit="1" customWidth="1" style="36" min="280" max="280"/>
    <col width="9.42578125" customWidth="1" style="36" min="281" max="281"/>
    <col width="11.5703125" customWidth="1" style="36" min="282" max="282"/>
    <col width="6.42578125" customWidth="1" style="36" min="283" max="283"/>
    <col width="9.140625" customWidth="1" style="36" min="284" max="511"/>
    <col width="6.140625" customWidth="1" style="36" min="512" max="512"/>
    <col width="9.42578125" customWidth="1" style="36" min="513" max="513"/>
    <col width="12.140625" customWidth="1" style="36" min="514" max="514"/>
    <col width="8.85546875" bestFit="1" customWidth="1" style="36" min="515" max="515"/>
    <col width="9.42578125" customWidth="1" style="36" min="516" max="516"/>
    <col width="11.5703125" customWidth="1" style="36" min="517" max="517"/>
    <col width="5.42578125" customWidth="1" style="36" min="518" max="518"/>
    <col width="9.42578125" customWidth="1" style="36" min="519" max="519"/>
    <col width="11.5703125" customWidth="1" style="36" min="520" max="520"/>
    <col width="5.42578125" customWidth="1" style="36" min="521" max="521"/>
    <col width="9.42578125" customWidth="1" style="36" min="522" max="522"/>
    <col width="11.5703125" customWidth="1" style="36" min="523" max="523"/>
    <col width="5.42578125" customWidth="1" style="36" min="524" max="524"/>
    <col width="9.42578125" customWidth="1" style="36" min="525" max="525"/>
    <col width="11.5703125" customWidth="1" style="36" min="526" max="526"/>
    <col width="5.42578125" customWidth="1" style="36" min="527" max="527"/>
    <col width="9.42578125" customWidth="1" style="36" min="528" max="528"/>
    <col width="11.5703125" customWidth="1" style="36" min="529" max="529"/>
    <col width="5.42578125" customWidth="1" style="36" min="530" max="530"/>
    <col width="9.42578125" customWidth="1" style="36" min="531" max="531"/>
    <col width="11.5703125" customWidth="1" style="36" min="532" max="532"/>
    <col width="5.42578125" customWidth="1" style="36" min="533" max="533"/>
    <col width="9.42578125" customWidth="1" style="36" min="534" max="534"/>
    <col width="11.5703125" customWidth="1" style="36" min="535" max="535"/>
    <col width="8.5703125" bestFit="1" customWidth="1" style="36" min="536" max="536"/>
    <col width="9.42578125" customWidth="1" style="36" min="537" max="537"/>
    <col width="11.5703125" customWidth="1" style="36" min="538" max="538"/>
    <col width="6.42578125" customWidth="1" style="36" min="539" max="539"/>
    <col width="9.140625" customWidth="1" style="36" min="540" max="767"/>
    <col width="6.140625" customWidth="1" style="36" min="768" max="768"/>
    <col width="9.42578125" customWidth="1" style="36" min="769" max="769"/>
    <col width="12.140625" customWidth="1" style="36" min="770" max="770"/>
    <col width="8.85546875" bestFit="1" customWidth="1" style="36" min="771" max="771"/>
    <col width="9.42578125" customWidth="1" style="36" min="772" max="772"/>
    <col width="11.5703125" customWidth="1" style="36" min="773" max="773"/>
    <col width="5.42578125" customWidth="1" style="36" min="774" max="774"/>
    <col width="9.42578125" customWidth="1" style="36" min="775" max="775"/>
    <col width="11.5703125" customWidth="1" style="36" min="776" max="776"/>
    <col width="5.42578125" customWidth="1" style="36" min="777" max="777"/>
    <col width="9.42578125" customWidth="1" style="36" min="778" max="778"/>
    <col width="11.5703125" customWidth="1" style="36" min="779" max="779"/>
    <col width="5.42578125" customWidth="1" style="36" min="780" max="780"/>
    <col width="9.42578125" customWidth="1" style="36" min="781" max="781"/>
    <col width="11.5703125" customWidth="1" style="36" min="782" max="782"/>
    <col width="5.42578125" customWidth="1" style="36" min="783" max="783"/>
    <col width="9.42578125" customWidth="1" style="36" min="784" max="784"/>
    <col width="11.5703125" customWidth="1" style="36" min="785" max="785"/>
    <col width="5.42578125" customWidth="1" style="36" min="786" max="786"/>
    <col width="9.42578125" customWidth="1" style="36" min="787" max="787"/>
    <col width="11.5703125" customWidth="1" style="36" min="788" max="788"/>
    <col width="5.42578125" customWidth="1" style="36" min="789" max="789"/>
    <col width="9.42578125" customWidth="1" style="36" min="790" max="790"/>
    <col width="11.5703125" customWidth="1" style="36" min="791" max="791"/>
    <col width="8.5703125" bestFit="1" customWidth="1" style="36" min="792" max="792"/>
    <col width="9.42578125" customWidth="1" style="36" min="793" max="793"/>
    <col width="11.5703125" customWidth="1" style="36" min="794" max="794"/>
    <col width="6.42578125" customWidth="1" style="36" min="795" max="795"/>
    <col width="9.140625" customWidth="1" style="36" min="796" max="1023"/>
    <col width="6.140625" customWidth="1" style="36" min="1024" max="1024"/>
    <col width="9.42578125" customWidth="1" style="36" min="1025" max="1025"/>
    <col width="12.140625" customWidth="1" style="36" min="1026" max="1026"/>
    <col width="8.85546875" bestFit="1" customWidth="1" style="36" min="1027" max="1027"/>
    <col width="9.42578125" customWidth="1" style="36" min="1028" max="1028"/>
    <col width="11.5703125" customWidth="1" style="36" min="1029" max="1029"/>
    <col width="5.42578125" customWidth="1" style="36" min="1030" max="1030"/>
    <col width="9.42578125" customWidth="1" style="36" min="1031" max="1031"/>
    <col width="11.5703125" customWidth="1" style="36" min="1032" max="1032"/>
    <col width="5.42578125" customWidth="1" style="36" min="1033" max="1033"/>
    <col width="9.42578125" customWidth="1" style="36" min="1034" max="1034"/>
    <col width="11.5703125" customWidth="1" style="36" min="1035" max="1035"/>
    <col width="5.42578125" customWidth="1" style="36" min="1036" max="1036"/>
    <col width="9.42578125" customWidth="1" style="36" min="1037" max="1037"/>
    <col width="11.5703125" customWidth="1" style="36" min="1038" max="1038"/>
    <col width="5.42578125" customWidth="1" style="36" min="1039" max="1039"/>
    <col width="9.42578125" customWidth="1" style="36" min="1040" max="1040"/>
    <col width="11.5703125" customWidth="1" style="36" min="1041" max="1041"/>
    <col width="5.42578125" customWidth="1" style="36" min="1042" max="1042"/>
    <col width="9.42578125" customWidth="1" style="36" min="1043" max="1043"/>
    <col width="11.5703125" customWidth="1" style="36" min="1044" max="1044"/>
    <col width="5.42578125" customWidth="1" style="36" min="1045" max="1045"/>
    <col width="9.42578125" customWidth="1" style="36" min="1046" max="1046"/>
    <col width="11.5703125" customWidth="1" style="36" min="1047" max="1047"/>
    <col width="8.5703125" bestFit="1" customWidth="1" style="36" min="1048" max="1048"/>
    <col width="9.42578125" customWidth="1" style="36" min="1049" max="1049"/>
    <col width="11.5703125" customWidth="1" style="36" min="1050" max="1050"/>
    <col width="6.42578125" customWidth="1" style="36" min="1051" max="1051"/>
    <col width="9.140625" customWidth="1" style="36" min="1052" max="1279"/>
    <col width="6.140625" customWidth="1" style="36" min="1280" max="1280"/>
    <col width="9.42578125" customWidth="1" style="36" min="1281" max="1281"/>
    <col width="12.140625" customWidth="1" style="36" min="1282" max="1282"/>
    <col width="8.85546875" bestFit="1" customWidth="1" style="36" min="1283" max="1283"/>
    <col width="9.42578125" customWidth="1" style="36" min="1284" max="1284"/>
    <col width="11.5703125" customWidth="1" style="36" min="1285" max="1285"/>
    <col width="5.42578125" customWidth="1" style="36" min="1286" max="1286"/>
    <col width="9.42578125" customWidth="1" style="36" min="1287" max="1287"/>
    <col width="11.5703125" customWidth="1" style="36" min="1288" max="1288"/>
    <col width="5.42578125" customWidth="1" style="36" min="1289" max="1289"/>
    <col width="9.42578125" customWidth="1" style="36" min="1290" max="1290"/>
    <col width="11.5703125" customWidth="1" style="36" min="1291" max="1291"/>
    <col width="5.42578125" customWidth="1" style="36" min="1292" max="1292"/>
    <col width="9.42578125" customWidth="1" style="36" min="1293" max="1293"/>
    <col width="11.5703125" customWidth="1" style="36" min="1294" max="1294"/>
    <col width="5.42578125" customWidth="1" style="36" min="1295" max="1295"/>
    <col width="9.42578125" customWidth="1" style="36" min="1296" max="1296"/>
    <col width="11.5703125" customWidth="1" style="36" min="1297" max="1297"/>
    <col width="5.42578125" customWidth="1" style="36" min="1298" max="1298"/>
    <col width="9.42578125" customWidth="1" style="36" min="1299" max="1299"/>
    <col width="11.5703125" customWidth="1" style="36" min="1300" max="1300"/>
    <col width="5.42578125" customWidth="1" style="36" min="1301" max="1301"/>
    <col width="9.42578125" customWidth="1" style="36" min="1302" max="1302"/>
    <col width="11.5703125" customWidth="1" style="36" min="1303" max="1303"/>
    <col width="8.5703125" bestFit="1" customWidth="1" style="36" min="1304" max="1304"/>
    <col width="9.42578125" customWidth="1" style="36" min="1305" max="1305"/>
    <col width="11.5703125" customWidth="1" style="36" min="1306" max="1306"/>
    <col width="6.42578125" customWidth="1" style="36" min="1307" max="1307"/>
    <col width="9.140625" customWidth="1" style="36" min="1308" max="1535"/>
    <col width="6.140625" customWidth="1" style="36" min="1536" max="1536"/>
    <col width="9.42578125" customWidth="1" style="36" min="1537" max="1537"/>
    <col width="12.140625" customWidth="1" style="36" min="1538" max="1538"/>
    <col width="8.85546875" bestFit="1" customWidth="1" style="36" min="1539" max="1539"/>
    <col width="9.42578125" customWidth="1" style="36" min="1540" max="1540"/>
    <col width="11.5703125" customWidth="1" style="36" min="1541" max="1541"/>
    <col width="5.42578125" customWidth="1" style="36" min="1542" max="1542"/>
    <col width="9.42578125" customWidth="1" style="36" min="1543" max="1543"/>
    <col width="11.5703125" customWidth="1" style="36" min="1544" max="1544"/>
    <col width="5.42578125" customWidth="1" style="36" min="1545" max="1545"/>
    <col width="9.42578125" customWidth="1" style="36" min="1546" max="1546"/>
    <col width="11.5703125" customWidth="1" style="36" min="1547" max="1547"/>
    <col width="5.42578125" customWidth="1" style="36" min="1548" max="1548"/>
    <col width="9.42578125" customWidth="1" style="36" min="1549" max="1549"/>
    <col width="11.5703125" customWidth="1" style="36" min="1550" max="1550"/>
    <col width="5.42578125" customWidth="1" style="36" min="1551" max="1551"/>
    <col width="9.42578125" customWidth="1" style="36" min="1552" max="1552"/>
    <col width="11.5703125" customWidth="1" style="36" min="1553" max="1553"/>
    <col width="5.42578125" customWidth="1" style="36" min="1554" max="1554"/>
    <col width="9.42578125" customWidth="1" style="36" min="1555" max="1555"/>
    <col width="11.5703125" customWidth="1" style="36" min="1556" max="1556"/>
    <col width="5.42578125" customWidth="1" style="36" min="1557" max="1557"/>
    <col width="9.42578125" customWidth="1" style="36" min="1558" max="1558"/>
    <col width="11.5703125" customWidth="1" style="36" min="1559" max="1559"/>
    <col width="8.5703125" bestFit="1" customWidth="1" style="36" min="1560" max="1560"/>
    <col width="9.42578125" customWidth="1" style="36" min="1561" max="1561"/>
    <col width="11.5703125" customWidth="1" style="36" min="1562" max="1562"/>
    <col width="6.42578125" customWidth="1" style="36" min="1563" max="1563"/>
    <col width="9.140625" customWidth="1" style="36" min="1564" max="1791"/>
    <col width="6.140625" customWidth="1" style="36" min="1792" max="1792"/>
    <col width="9.42578125" customWidth="1" style="36" min="1793" max="1793"/>
    <col width="12.140625" customWidth="1" style="36" min="1794" max="1794"/>
    <col width="8.85546875" bestFit="1" customWidth="1" style="36" min="1795" max="1795"/>
    <col width="9.42578125" customWidth="1" style="36" min="1796" max="1796"/>
    <col width="11.5703125" customWidth="1" style="36" min="1797" max="1797"/>
    <col width="5.42578125" customWidth="1" style="36" min="1798" max="1798"/>
    <col width="9.42578125" customWidth="1" style="36" min="1799" max="1799"/>
    <col width="11.5703125" customWidth="1" style="36" min="1800" max="1800"/>
    <col width="5.42578125" customWidth="1" style="36" min="1801" max="1801"/>
    <col width="9.42578125" customWidth="1" style="36" min="1802" max="1802"/>
    <col width="11.5703125" customWidth="1" style="36" min="1803" max="1803"/>
    <col width="5.42578125" customWidth="1" style="36" min="1804" max="1804"/>
    <col width="9.42578125" customWidth="1" style="36" min="1805" max="1805"/>
    <col width="11.5703125" customWidth="1" style="36" min="1806" max="1806"/>
    <col width="5.42578125" customWidth="1" style="36" min="1807" max="1807"/>
    <col width="9.42578125" customWidth="1" style="36" min="1808" max="1808"/>
    <col width="11.5703125" customWidth="1" style="36" min="1809" max="1809"/>
    <col width="5.42578125" customWidth="1" style="36" min="1810" max="1810"/>
    <col width="9.42578125" customWidth="1" style="36" min="1811" max="1811"/>
    <col width="11.5703125" customWidth="1" style="36" min="1812" max="1812"/>
    <col width="5.42578125" customWidth="1" style="36" min="1813" max="1813"/>
    <col width="9.42578125" customWidth="1" style="36" min="1814" max="1814"/>
    <col width="11.5703125" customWidth="1" style="36" min="1815" max="1815"/>
    <col width="8.5703125" bestFit="1" customWidth="1" style="36" min="1816" max="1816"/>
    <col width="9.42578125" customWidth="1" style="36" min="1817" max="1817"/>
    <col width="11.5703125" customWidth="1" style="36" min="1818" max="1818"/>
    <col width="6.42578125" customWidth="1" style="36" min="1819" max="1819"/>
    <col width="9.140625" customWidth="1" style="36" min="1820" max="2047"/>
    <col width="6.140625" customWidth="1" style="36" min="2048" max="2048"/>
    <col width="9.42578125" customWidth="1" style="36" min="2049" max="2049"/>
    <col width="12.140625" customWidth="1" style="36" min="2050" max="2050"/>
    <col width="8.85546875" bestFit="1" customWidth="1" style="36" min="2051" max="2051"/>
    <col width="9.42578125" customWidth="1" style="36" min="2052" max="2052"/>
    <col width="11.5703125" customWidth="1" style="36" min="2053" max="2053"/>
    <col width="5.42578125" customWidth="1" style="36" min="2054" max="2054"/>
    <col width="9.42578125" customWidth="1" style="36" min="2055" max="2055"/>
    <col width="11.5703125" customWidth="1" style="36" min="2056" max="2056"/>
    <col width="5.42578125" customWidth="1" style="36" min="2057" max="2057"/>
    <col width="9.42578125" customWidth="1" style="36" min="2058" max="2058"/>
    <col width="11.5703125" customWidth="1" style="36" min="2059" max="2059"/>
    <col width="5.42578125" customWidth="1" style="36" min="2060" max="2060"/>
    <col width="9.42578125" customWidth="1" style="36" min="2061" max="2061"/>
    <col width="11.5703125" customWidth="1" style="36" min="2062" max="2062"/>
    <col width="5.42578125" customWidth="1" style="36" min="2063" max="2063"/>
    <col width="9.42578125" customWidth="1" style="36" min="2064" max="2064"/>
    <col width="11.5703125" customWidth="1" style="36" min="2065" max="2065"/>
    <col width="5.42578125" customWidth="1" style="36" min="2066" max="2066"/>
    <col width="9.42578125" customWidth="1" style="36" min="2067" max="2067"/>
    <col width="11.5703125" customWidth="1" style="36" min="2068" max="2068"/>
    <col width="5.42578125" customWidth="1" style="36" min="2069" max="2069"/>
    <col width="9.42578125" customWidth="1" style="36" min="2070" max="2070"/>
    <col width="11.5703125" customWidth="1" style="36" min="2071" max="2071"/>
    <col width="8.5703125" bestFit="1" customWidth="1" style="36" min="2072" max="2072"/>
    <col width="9.42578125" customWidth="1" style="36" min="2073" max="2073"/>
    <col width="11.5703125" customWidth="1" style="36" min="2074" max="2074"/>
    <col width="6.42578125" customWidth="1" style="36" min="2075" max="2075"/>
    <col width="9.140625" customWidth="1" style="36" min="2076" max="2303"/>
    <col width="6.140625" customWidth="1" style="36" min="2304" max="2304"/>
    <col width="9.42578125" customWidth="1" style="36" min="2305" max="2305"/>
    <col width="12.140625" customWidth="1" style="36" min="2306" max="2306"/>
    <col width="8.85546875" bestFit="1" customWidth="1" style="36" min="2307" max="2307"/>
    <col width="9.42578125" customWidth="1" style="36" min="2308" max="2308"/>
    <col width="11.5703125" customWidth="1" style="36" min="2309" max="2309"/>
    <col width="5.42578125" customWidth="1" style="36" min="2310" max="2310"/>
    <col width="9.42578125" customWidth="1" style="36" min="2311" max="2311"/>
    <col width="11.5703125" customWidth="1" style="36" min="2312" max="2312"/>
    <col width="5.42578125" customWidth="1" style="36" min="2313" max="2313"/>
    <col width="9.42578125" customWidth="1" style="36" min="2314" max="2314"/>
    <col width="11.5703125" customWidth="1" style="36" min="2315" max="2315"/>
    <col width="5.42578125" customWidth="1" style="36" min="2316" max="2316"/>
    <col width="9.42578125" customWidth="1" style="36" min="2317" max="2317"/>
    <col width="11.5703125" customWidth="1" style="36" min="2318" max="2318"/>
    <col width="5.42578125" customWidth="1" style="36" min="2319" max="2319"/>
    <col width="9.42578125" customWidth="1" style="36" min="2320" max="2320"/>
    <col width="11.5703125" customWidth="1" style="36" min="2321" max="2321"/>
    <col width="5.42578125" customWidth="1" style="36" min="2322" max="2322"/>
    <col width="9.42578125" customWidth="1" style="36" min="2323" max="2323"/>
    <col width="11.5703125" customWidth="1" style="36" min="2324" max="2324"/>
    <col width="5.42578125" customWidth="1" style="36" min="2325" max="2325"/>
    <col width="9.42578125" customWidth="1" style="36" min="2326" max="2326"/>
    <col width="11.5703125" customWidth="1" style="36" min="2327" max="2327"/>
    <col width="8.5703125" bestFit="1" customWidth="1" style="36" min="2328" max="2328"/>
    <col width="9.42578125" customWidth="1" style="36" min="2329" max="2329"/>
    <col width="11.5703125" customWidth="1" style="36" min="2330" max="2330"/>
    <col width="6.42578125" customWidth="1" style="36" min="2331" max="2331"/>
    <col width="9.140625" customWidth="1" style="36" min="2332" max="2559"/>
    <col width="6.140625" customWidth="1" style="36" min="2560" max="2560"/>
    <col width="9.42578125" customWidth="1" style="36" min="2561" max="2561"/>
    <col width="12.140625" customWidth="1" style="36" min="2562" max="2562"/>
    <col width="8.85546875" bestFit="1" customWidth="1" style="36" min="2563" max="2563"/>
    <col width="9.42578125" customWidth="1" style="36" min="2564" max="2564"/>
    <col width="11.5703125" customWidth="1" style="36" min="2565" max="2565"/>
    <col width="5.42578125" customWidth="1" style="36" min="2566" max="2566"/>
    <col width="9.42578125" customWidth="1" style="36" min="2567" max="2567"/>
    <col width="11.5703125" customWidth="1" style="36" min="2568" max="2568"/>
    <col width="5.42578125" customWidth="1" style="36" min="2569" max="2569"/>
    <col width="9.42578125" customWidth="1" style="36" min="2570" max="2570"/>
    <col width="11.5703125" customWidth="1" style="36" min="2571" max="2571"/>
    <col width="5.42578125" customWidth="1" style="36" min="2572" max="2572"/>
    <col width="9.42578125" customWidth="1" style="36" min="2573" max="2573"/>
    <col width="11.5703125" customWidth="1" style="36" min="2574" max="2574"/>
    <col width="5.42578125" customWidth="1" style="36" min="2575" max="2575"/>
    <col width="9.42578125" customWidth="1" style="36" min="2576" max="2576"/>
    <col width="11.5703125" customWidth="1" style="36" min="2577" max="2577"/>
    <col width="5.42578125" customWidth="1" style="36" min="2578" max="2578"/>
    <col width="9.42578125" customWidth="1" style="36" min="2579" max="2579"/>
    <col width="11.5703125" customWidth="1" style="36" min="2580" max="2580"/>
    <col width="5.42578125" customWidth="1" style="36" min="2581" max="2581"/>
    <col width="9.42578125" customWidth="1" style="36" min="2582" max="2582"/>
    <col width="11.5703125" customWidth="1" style="36" min="2583" max="2583"/>
    <col width="8.5703125" bestFit="1" customWidth="1" style="36" min="2584" max="2584"/>
    <col width="9.42578125" customWidth="1" style="36" min="2585" max="2585"/>
    <col width="11.5703125" customWidth="1" style="36" min="2586" max="2586"/>
    <col width="6.42578125" customWidth="1" style="36" min="2587" max="2587"/>
    <col width="9.140625" customWidth="1" style="36" min="2588" max="2815"/>
    <col width="6.140625" customWidth="1" style="36" min="2816" max="2816"/>
    <col width="9.42578125" customWidth="1" style="36" min="2817" max="2817"/>
    <col width="12.140625" customWidth="1" style="36" min="2818" max="2818"/>
    <col width="8.85546875" bestFit="1" customWidth="1" style="36" min="2819" max="2819"/>
    <col width="9.42578125" customWidth="1" style="36" min="2820" max="2820"/>
    <col width="11.5703125" customWidth="1" style="36" min="2821" max="2821"/>
    <col width="5.42578125" customWidth="1" style="36" min="2822" max="2822"/>
    <col width="9.42578125" customWidth="1" style="36" min="2823" max="2823"/>
    <col width="11.5703125" customWidth="1" style="36" min="2824" max="2824"/>
    <col width="5.42578125" customWidth="1" style="36" min="2825" max="2825"/>
    <col width="9.42578125" customWidth="1" style="36" min="2826" max="2826"/>
    <col width="11.5703125" customWidth="1" style="36" min="2827" max="2827"/>
    <col width="5.42578125" customWidth="1" style="36" min="2828" max="2828"/>
    <col width="9.42578125" customWidth="1" style="36" min="2829" max="2829"/>
    <col width="11.5703125" customWidth="1" style="36" min="2830" max="2830"/>
    <col width="5.42578125" customWidth="1" style="36" min="2831" max="2831"/>
    <col width="9.42578125" customWidth="1" style="36" min="2832" max="2832"/>
    <col width="11.5703125" customWidth="1" style="36" min="2833" max="2833"/>
    <col width="5.42578125" customWidth="1" style="36" min="2834" max="2834"/>
    <col width="9.42578125" customWidth="1" style="36" min="2835" max="2835"/>
    <col width="11.5703125" customWidth="1" style="36" min="2836" max="2836"/>
    <col width="5.42578125" customWidth="1" style="36" min="2837" max="2837"/>
    <col width="9.42578125" customWidth="1" style="36" min="2838" max="2838"/>
    <col width="11.5703125" customWidth="1" style="36" min="2839" max="2839"/>
    <col width="8.5703125" bestFit="1" customWidth="1" style="36" min="2840" max="2840"/>
    <col width="9.42578125" customWidth="1" style="36" min="2841" max="2841"/>
    <col width="11.5703125" customWidth="1" style="36" min="2842" max="2842"/>
    <col width="6.42578125" customWidth="1" style="36" min="2843" max="2843"/>
    <col width="9.140625" customWidth="1" style="36" min="2844" max="3071"/>
    <col width="6.140625" customWidth="1" style="36" min="3072" max="3072"/>
    <col width="9.42578125" customWidth="1" style="36" min="3073" max="3073"/>
    <col width="12.140625" customWidth="1" style="36" min="3074" max="3074"/>
    <col width="8.85546875" bestFit="1" customWidth="1" style="36" min="3075" max="3075"/>
    <col width="9.42578125" customWidth="1" style="36" min="3076" max="3076"/>
    <col width="11.5703125" customWidth="1" style="36" min="3077" max="3077"/>
    <col width="5.42578125" customWidth="1" style="36" min="3078" max="3078"/>
    <col width="9.42578125" customWidth="1" style="36" min="3079" max="3079"/>
    <col width="11.5703125" customWidth="1" style="36" min="3080" max="3080"/>
    <col width="5.42578125" customWidth="1" style="36" min="3081" max="3081"/>
    <col width="9.42578125" customWidth="1" style="36" min="3082" max="3082"/>
    <col width="11.5703125" customWidth="1" style="36" min="3083" max="3083"/>
    <col width="5.42578125" customWidth="1" style="36" min="3084" max="3084"/>
    <col width="9.42578125" customWidth="1" style="36" min="3085" max="3085"/>
    <col width="11.5703125" customWidth="1" style="36" min="3086" max="3086"/>
    <col width="5.42578125" customWidth="1" style="36" min="3087" max="3087"/>
    <col width="9.42578125" customWidth="1" style="36" min="3088" max="3088"/>
    <col width="11.5703125" customWidth="1" style="36" min="3089" max="3089"/>
    <col width="5.42578125" customWidth="1" style="36" min="3090" max="3090"/>
    <col width="9.42578125" customWidth="1" style="36" min="3091" max="3091"/>
    <col width="11.5703125" customWidth="1" style="36" min="3092" max="3092"/>
    <col width="5.42578125" customWidth="1" style="36" min="3093" max="3093"/>
    <col width="9.42578125" customWidth="1" style="36" min="3094" max="3094"/>
    <col width="11.5703125" customWidth="1" style="36" min="3095" max="3095"/>
    <col width="8.5703125" bestFit="1" customWidth="1" style="36" min="3096" max="3096"/>
    <col width="9.42578125" customWidth="1" style="36" min="3097" max="3097"/>
    <col width="11.5703125" customWidth="1" style="36" min="3098" max="3098"/>
    <col width="6.42578125" customWidth="1" style="36" min="3099" max="3099"/>
    <col width="9.140625" customWidth="1" style="36" min="3100" max="3327"/>
    <col width="6.140625" customWidth="1" style="36" min="3328" max="3328"/>
    <col width="9.42578125" customWidth="1" style="36" min="3329" max="3329"/>
    <col width="12.140625" customWidth="1" style="36" min="3330" max="3330"/>
    <col width="8.85546875" bestFit="1" customWidth="1" style="36" min="3331" max="3331"/>
    <col width="9.42578125" customWidth="1" style="36" min="3332" max="3332"/>
    <col width="11.5703125" customWidth="1" style="36" min="3333" max="3333"/>
    <col width="5.42578125" customWidth="1" style="36" min="3334" max="3334"/>
    <col width="9.42578125" customWidth="1" style="36" min="3335" max="3335"/>
    <col width="11.5703125" customWidth="1" style="36" min="3336" max="3336"/>
    <col width="5.42578125" customWidth="1" style="36" min="3337" max="3337"/>
    <col width="9.42578125" customWidth="1" style="36" min="3338" max="3338"/>
    <col width="11.5703125" customWidth="1" style="36" min="3339" max="3339"/>
    <col width="5.42578125" customWidth="1" style="36" min="3340" max="3340"/>
    <col width="9.42578125" customWidth="1" style="36" min="3341" max="3341"/>
    <col width="11.5703125" customWidth="1" style="36" min="3342" max="3342"/>
    <col width="5.42578125" customWidth="1" style="36" min="3343" max="3343"/>
    <col width="9.42578125" customWidth="1" style="36" min="3344" max="3344"/>
    <col width="11.5703125" customWidth="1" style="36" min="3345" max="3345"/>
    <col width="5.42578125" customWidth="1" style="36" min="3346" max="3346"/>
    <col width="9.42578125" customWidth="1" style="36" min="3347" max="3347"/>
    <col width="11.5703125" customWidth="1" style="36" min="3348" max="3348"/>
    <col width="5.42578125" customWidth="1" style="36" min="3349" max="3349"/>
    <col width="9.42578125" customWidth="1" style="36" min="3350" max="3350"/>
    <col width="11.5703125" customWidth="1" style="36" min="3351" max="3351"/>
    <col width="8.5703125" bestFit="1" customWidth="1" style="36" min="3352" max="3352"/>
    <col width="9.42578125" customWidth="1" style="36" min="3353" max="3353"/>
    <col width="11.5703125" customWidth="1" style="36" min="3354" max="3354"/>
    <col width="6.42578125" customWidth="1" style="36" min="3355" max="3355"/>
    <col width="9.140625" customWidth="1" style="36" min="3356" max="3583"/>
    <col width="6.140625" customWidth="1" style="36" min="3584" max="3584"/>
    <col width="9.42578125" customWidth="1" style="36" min="3585" max="3585"/>
    <col width="12.140625" customWidth="1" style="36" min="3586" max="3586"/>
    <col width="8.85546875" bestFit="1" customWidth="1" style="36" min="3587" max="3587"/>
    <col width="9.42578125" customWidth="1" style="36" min="3588" max="3588"/>
    <col width="11.5703125" customWidth="1" style="36" min="3589" max="3589"/>
    <col width="5.42578125" customWidth="1" style="36" min="3590" max="3590"/>
    <col width="9.42578125" customWidth="1" style="36" min="3591" max="3591"/>
    <col width="11.5703125" customWidth="1" style="36" min="3592" max="3592"/>
    <col width="5.42578125" customWidth="1" style="36" min="3593" max="3593"/>
    <col width="9.42578125" customWidth="1" style="36" min="3594" max="3594"/>
    <col width="11.5703125" customWidth="1" style="36" min="3595" max="3595"/>
    <col width="5.42578125" customWidth="1" style="36" min="3596" max="3596"/>
    <col width="9.42578125" customWidth="1" style="36" min="3597" max="3597"/>
    <col width="11.5703125" customWidth="1" style="36" min="3598" max="3598"/>
    <col width="5.42578125" customWidth="1" style="36" min="3599" max="3599"/>
    <col width="9.42578125" customWidth="1" style="36" min="3600" max="3600"/>
    <col width="11.5703125" customWidth="1" style="36" min="3601" max="3601"/>
    <col width="5.42578125" customWidth="1" style="36" min="3602" max="3602"/>
    <col width="9.42578125" customWidth="1" style="36" min="3603" max="3603"/>
    <col width="11.5703125" customWidth="1" style="36" min="3604" max="3604"/>
    <col width="5.42578125" customWidth="1" style="36" min="3605" max="3605"/>
    <col width="9.42578125" customWidth="1" style="36" min="3606" max="3606"/>
    <col width="11.5703125" customWidth="1" style="36" min="3607" max="3607"/>
    <col width="8.5703125" bestFit="1" customWidth="1" style="36" min="3608" max="3608"/>
    <col width="9.42578125" customWidth="1" style="36" min="3609" max="3609"/>
    <col width="11.5703125" customWidth="1" style="36" min="3610" max="3610"/>
    <col width="6.42578125" customWidth="1" style="36" min="3611" max="3611"/>
    <col width="9.140625" customWidth="1" style="36" min="3612" max="3839"/>
    <col width="6.140625" customWidth="1" style="36" min="3840" max="3840"/>
    <col width="9.42578125" customWidth="1" style="36" min="3841" max="3841"/>
    <col width="12.140625" customWidth="1" style="36" min="3842" max="3842"/>
    <col width="8.85546875" bestFit="1" customWidth="1" style="36" min="3843" max="3843"/>
    <col width="9.42578125" customWidth="1" style="36" min="3844" max="3844"/>
    <col width="11.5703125" customWidth="1" style="36" min="3845" max="3845"/>
    <col width="5.42578125" customWidth="1" style="36" min="3846" max="3846"/>
    <col width="9.42578125" customWidth="1" style="36" min="3847" max="3847"/>
    <col width="11.5703125" customWidth="1" style="36" min="3848" max="3848"/>
    <col width="5.42578125" customWidth="1" style="36" min="3849" max="3849"/>
    <col width="9.42578125" customWidth="1" style="36" min="3850" max="3850"/>
    <col width="11.5703125" customWidth="1" style="36" min="3851" max="3851"/>
    <col width="5.42578125" customWidth="1" style="36" min="3852" max="3852"/>
    <col width="9.42578125" customWidth="1" style="36" min="3853" max="3853"/>
    <col width="11.5703125" customWidth="1" style="36" min="3854" max="3854"/>
    <col width="5.42578125" customWidth="1" style="36" min="3855" max="3855"/>
    <col width="9.42578125" customWidth="1" style="36" min="3856" max="3856"/>
    <col width="11.5703125" customWidth="1" style="36" min="3857" max="3857"/>
    <col width="5.42578125" customWidth="1" style="36" min="3858" max="3858"/>
    <col width="9.42578125" customWidth="1" style="36" min="3859" max="3859"/>
    <col width="11.5703125" customWidth="1" style="36" min="3860" max="3860"/>
    <col width="5.42578125" customWidth="1" style="36" min="3861" max="3861"/>
    <col width="9.42578125" customWidth="1" style="36" min="3862" max="3862"/>
    <col width="11.5703125" customWidth="1" style="36" min="3863" max="3863"/>
    <col width="8.5703125" bestFit="1" customWidth="1" style="36" min="3864" max="3864"/>
    <col width="9.42578125" customWidth="1" style="36" min="3865" max="3865"/>
    <col width="11.5703125" customWidth="1" style="36" min="3866" max="3866"/>
    <col width="6.42578125" customWidth="1" style="36" min="3867" max="3867"/>
    <col width="9.140625" customWidth="1" style="36" min="3868" max="4095"/>
    <col width="6.140625" customWidth="1" style="36" min="4096" max="4096"/>
    <col width="9.42578125" customWidth="1" style="36" min="4097" max="4097"/>
    <col width="12.140625" customWidth="1" style="36" min="4098" max="4098"/>
    <col width="8.85546875" bestFit="1" customWidth="1" style="36" min="4099" max="4099"/>
    <col width="9.42578125" customWidth="1" style="36" min="4100" max="4100"/>
    <col width="11.5703125" customWidth="1" style="36" min="4101" max="4101"/>
    <col width="5.42578125" customWidth="1" style="36" min="4102" max="4102"/>
    <col width="9.42578125" customWidth="1" style="36" min="4103" max="4103"/>
    <col width="11.5703125" customWidth="1" style="36" min="4104" max="4104"/>
    <col width="5.42578125" customWidth="1" style="36" min="4105" max="4105"/>
    <col width="9.42578125" customWidth="1" style="36" min="4106" max="4106"/>
    <col width="11.5703125" customWidth="1" style="36" min="4107" max="4107"/>
    <col width="5.42578125" customWidth="1" style="36" min="4108" max="4108"/>
    <col width="9.42578125" customWidth="1" style="36" min="4109" max="4109"/>
    <col width="11.5703125" customWidth="1" style="36" min="4110" max="4110"/>
    <col width="5.42578125" customWidth="1" style="36" min="4111" max="4111"/>
    <col width="9.42578125" customWidth="1" style="36" min="4112" max="4112"/>
    <col width="11.5703125" customWidth="1" style="36" min="4113" max="4113"/>
    <col width="5.42578125" customWidth="1" style="36" min="4114" max="4114"/>
    <col width="9.42578125" customWidth="1" style="36" min="4115" max="4115"/>
    <col width="11.5703125" customWidth="1" style="36" min="4116" max="4116"/>
    <col width="5.42578125" customWidth="1" style="36" min="4117" max="4117"/>
    <col width="9.42578125" customWidth="1" style="36" min="4118" max="4118"/>
    <col width="11.5703125" customWidth="1" style="36" min="4119" max="4119"/>
    <col width="8.5703125" bestFit="1" customWidth="1" style="36" min="4120" max="4120"/>
    <col width="9.42578125" customWidth="1" style="36" min="4121" max="4121"/>
    <col width="11.5703125" customWidth="1" style="36" min="4122" max="4122"/>
    <col width="6.42578125" customWidth="1" style="36" min="4123" max="4123"/>
    <col width="9.140625" customWidth="1" style="36" min="4124" max="4351"/>
    <col width="6.140625" customWidth="1" style="36" min="4352" max="4352"/>
    <col width="9.42578125" customWidth="1" style="36" min="4353" max="4353"/>
    <col width="12.140625" customWidth="1" style="36" min="4354" max="4354"/>
    <col width="8.85546875" bestFit="1" customWidth="1" style="36" min="4355" max="4355"/>
    <col width="9.42578125" customWidth="1" style="36" min="4356" max="4356"/>
    <col width="11.5703125" customWidth="1" style="36" min="4357" max="4357"/>
    <col width="5.42578125" customWidth="1" style="36" min="4358" max="4358"/>
    <col width="9.42578125" customWidth="1" style="36" min="4359" max="4359"/>
    <col width="11.5703125" customWidth="1" style="36" min="4360" max="4360"/>
    <col width="5.42578125" customWidth="1" style="36" min="4361" max="4361"/>
    <col width="9.42578125" customWidth="1" style="36" min="4362" max="4362"/>
    <col width="11.5703125" customWidth="1" style="36" min="4363" max="4363"/>
    <col width="5.42578125" customWidth="1" style="36" min="4364" max="4364"/>
    <col width="9.42578125" customWidth="1" style="36" min="4365" max="4365"/>
    <col width="11.5703125" customWidth="1" style="36" min="4366" max="4366"/>
    <col width="5.42578125" customWidth="1" style="36" min="4367" max="4367"/>
    <col width="9.42578125" customWidth="1" style="36" min="4368" max="4368"/>
    <col width="11.5703125" customWidth="1" style="36" min="4369" max="4369"/>
    <col width="5.42578125" customWidth="1" style="36" min="4370" max="4370"/>
    <col width="9.42578125" customWidth="1" style="36" min="4371" max="4371"/>
    <col width="11.5703125" customWidth="1" style="36" min="4372" max="4372"/>
    <col width="5.42578125" customWidth="1" style="36" min="4373" max="4373"/>
    <col width="9.42578125" customWidth="1" style="36" min="4374" max="4374"/>
    <col width="11.5703125" customWidth="1" style="36" min="4375" max="4375"/>
    <col width="8.5703125" bestFit="1" customWidth="1" style="36" min="4376" max="4376"/>
    <col width="9.42578125" customWidth="1" style="36" min="4377" max="4377"/>
    <col width="11.5703125" customWidth="1" style="36" min="4378" max="4378"/>
    <col width="6.42578125" customWidth="1" style="36" min="4379" max="4379"/>
    <col width="9.140625" customWidth="1" style="36" min="4380" max="4607"/>
    <col width="6.140625" customWidth="1" style="36" min="4608" max="4608"/>
    <col width="9.42578125" customWidth="1" style="36" min="4609" max="4609"/>
    <col width="12.140625" customWidth="1" style="36" min="4610" max="4610"/>
    <col width="8.85546875" bestFit="1" customWidth="1" style="36" min="4611" max="4611"/>
    <col width="9.42578125" customWidth="1" style="36" min="4612" max="4612"/>
    <col width="11.5703125" customWidth="1" style="36" min="4613" max="4613"/>
    <col width="5.42578125" customWidth="1" style="36" min="4614" max="4614"/>
    <col width="9.42578125" customWidth="1" style="36" min="4615" max="4615"/>
    <col width="11.5703125" customWidth="1" style="36" min="4616" max="4616"/>
    <col width="5.42578125" customWidth="1" style="36" min="4617" max="4617"/>
    <col width="9.42578125" customWidth="1" style="36" min="4618" max="4618"/>
    <col width="11.5703125" customWidth="1" style="36" min="4619" max="4619"/>
    <col width="5.42578125" customWidth="1" style="36" min="4620" max="4620"/>
    <col width="9.42578125" customWidth="1" style="36" min="4621" max="4621"/>
    <col width="11.5703125" customWidth="1" style="36" min="4622" max="4622"/>
    <col width="5.42578125" customWidth="1" style="36" min="4623" max="4623"/>
    <col width="9.42578125" customWidth="1" style="36" min="4624" max="4624"/>
    <col width="11.5703125" customWidth="1" style="36" min="4625" max="4625"/>
    <col width="5.42578125" customWidth="1" style="36" min="4626" max="4626"/>
    <col width="9.42578125" customWidth="1" style="36" min="4627" max="4627"/>
    <col width="11.5703125" customWidth="1" style="36" min="4628" max="4628"/>
    <col width="5.42578125" customWidth="1" style="36" min="4629" max="4629"/>
    <col width="9.42578125" customWidth="1" style="36" min="4630" max="4630"/>
    <col width="11.5703125" customWidth="1" style="36" min="4631" max="4631"/>
    <col width="8.5703125" bestFit="1" customWidth="1" style="36" min="4632" max="4632"/>
    <col width="9.42578125" customWidth="1" style="36" min="4633" max="4633"/>
    <col width="11.5703125" customWidth="1" style="36" min="4634" max="4634"/>
    <col width="6.42578125" customWidth="1" style="36" min="4635" max="4635"/>
    <col width="9.140625" customWidth="1" style="36" min="4636" max="4863"/>
    <col width="6.140625" customWidth="1" style="36" min="4864" max="4864"/>
    <col width="9.42578125" customWidth="1" style="36" min="4865" max="4865"/>
    <col width="12.140625" customWidth="1" style="36" min="4866" max="4866"/>
    <col width="8.85546875" bestFit="1" customWidth="1" style="36" min="4867" max="4867"/>
    <col width="9.42578125" customWidth="1" style="36" min="4868" max="4868"/>
    <col width="11.5703125" customWidth="1" style="36" min="4869" max="4869"/>
    <col width="5.42578125" customWidth="1" style="36" min="4870" max="4870"/>
    <col width="9.42578125" customWidth="1" style="36" min="4871" max="4871"/>
    <col width="11.5703125" customWidth="1" style="36" min="4872" max="4872"/>
    <col width="5.42578125" customWidth="1" style="36" min="4873" max="4873"/>
    <col width="9.42578125" customWidth="1" style="36" min="4874" max="4874"/>
    <col width="11.5703125" customWidth="1" style="36" min="4875" max="4875"/>
    <col width="5.42578125" customWidth="1" style="36" min="4876" max="4876"/>
    <col width="9.42578125" customWidth="1" style="36" min="4877" max="4877"/>
    <col width="11.5703125" customWidth="1" style="36" min="4878" max="4878"/>
    <col width="5.42578125" customWidth="1" style="36" min="4879" max="4879"/>
    <col width="9.42578125" customWidth="1" style="36" min="4880" max="4880"/>
    <col width="11.5703125" customWidth="1" style="36" min="4881" max="4881"/>
    <col width="5.42578125" customWidth="1" style="36" min="4882" max="4882"/>
    <col width="9.42578125" customWidth="1" style="36" min="4883" max="4883"/>
    <col width="11.5703125" customWidth="1" style="36" min="4884" max="4884"/>
    <col width="5.42578125" customWidth="1" style="36" min="4885" max="4885"/>
    <col width="9.42578125" customWidth="1" style="36" min="4886" max="4886"/>
    <col width="11.5703125" customWidth="1" style="36" min="4887" max="4887"/>
    <col width="8.5703125" bestFit="1" customWidth="1" style="36" min="4888" max="4888"/>
    <col width="9.42578125" customWidth="1" style="36" min="4889" max="4889"/>
    <col width="11.5703125" customWidth="1" style="36" min="4890" max="4890"/>
    <col width="6.42578125" customWidth="1" style="36" min="4891" max="4891"/>
    <col width="9.140625" customWidth="1" style="36" min="4892" max="5119"/>
    <col width="6.140625" customWidth="1" style="36" min="5120" max="5120"/>
    <col width="9.42578125" customWidth="1" style="36" min="5121" max="5121"/>
    <col width="12.140625" customWidth="1" style="36" min="5122" max="5122"/>
    <col width="8.85546875" bestFit="1" customWidth="1" style="36" min="5123" max="5123"/>
    <col width="9.42578125" customWidth="1" style="36" min="5124" max="5124"/>
    <col width="11.5703125" customWidth="1" style="36" min="5125" max="5125"/>
    <col width="5.42578125" customWidth="1" style="36" min="5126" max="5126"/>
    <col width="9.42578125" customWidth="1" style="36" min="5127" max="5127"/>
    <col width="11.5703125" customWidth="1" style="36" min="5128" max="5128"/>
    <col width="5.42578125" customWidth="1" style="36" min="5129" max="5129"/>
    <col width="9.42578125" customWidth="1" style="36" min="5130" max="5130"/>
    <col width="11.5703125" customWidth="1" style="36" min="5131" max="5131"/>
    <col width="5.42578125" customWidth="1" style="36" min="5132" max="5132"/>
    <col width="9.42578125" customWidth="1" style="36" min="5133" max="5133"/>
    <col width="11.5703125" customWidth="1" style="36" min="5134" max="5134"/>
    <col width="5.42578125" customWidth="1" style="36" min="5135" max="5135"/>
    <col width="9.42578125" customWidth="1" style="36" min="5136" max="5136"/>
    <col width="11.5703125" customWidth="1" style="36" min="5137" max="5137"/>
    <col width="5.42578125" customWidth="1" style="36" min="5138" max="5138"/>
    <col width="9.42578125" customWidth="1" style="36" min="5139" max="5139"/>
    <col width="11.5703125" customWidth="1" style="36" min="5140" max="5140"/>
    <col width="5.42578125" customWidth="1" style="36" min="5141" max="5141"/>
    <col width="9.42578125" customWidth="1" style="36" min="5142" max="5142"/>
    <col width="11.5703125" customWidth="1" style="36" min="5143" max="5143"/>
    <col width="8.5703125" bestFit="1" customWidth="1" style="36" min="5144" max="5144"/>
    <col width="9.42578125" customWidth="1" style="36" min="5145" max="5145"/>
    <col width="11.5703125" customWidth="1" style="36" min="5146" max="5146"/>
    <col width="6.42578125" customWidth="1" style="36" min="5147" max="5147"/>
    <col width="9.140625" customWidth="1" style="36" min="5148" max="5375"/>
    <col width="6.140625" customWidth="1" style="36" min="5376" max="5376"/>
    <col width="9.42578125" customWidth="1" style="36" min="5377" max="5377"/>
    <col width="12.140625" customWidth="1" style="36" min="5378" max="5378"/>
    <col width="8.85546875" bestFit="1" customWidth="1" style="36" min="5379" max="5379"/>
    <col width="9.42578125" customWidth="1" style="36" min="5380" max="5380"/>
    <col width="11.5703125" customWidth="1" style="36" min="5381" max="5381"/>
    <col width="5.42578125" customWidth="1" style="36" min="5382" max="5382"/>
    <col width="9.42578125" customWidth="1" style="36" min="5383" max="5383"/>
    <col width="11.5703125" customWidth="1" style="36" min="5384" max="5384"/>
    <col width="5.42578125" customWidth="1" style="36" min="5385" max="5385"/>
    <col width="9.42578125" customWidth="1" style="36" min="5386" max="5386"/>
    <col width="11.5703125" customWidth="1" style="36" min="5387" max="5387"/>
    <col width="5.42578125" customWidth="1" style="36" min="5388" max="5388"/>
    <col width="9.42578125" customWidth="1" style="36" min="5389" max="5389"/>
    <col width="11.5703125" customWidth="1" style="36" min="5390" max="5390"/>
    <col width="5.42578125" customWidth="1" style="36" min="5391" max="5391"/>
    <col width="9.42578125" customWidth="1" style="36" min="5392" max="5392"/>
    <col width="11.5703125" customWidth="1" style="36" min="5393" max="5393"/>
    <col width="5.42578125" customWidth="1" style="36" min="5394" max="5394"/>
    <col width="9.42578125" customWidth="1" style="36" min="5395" max="5395"/>
    <col width="11.5703125" customWidth="1" style="36" min="5396" max="5396"/>
    <col width="5.42578125" customWidth="1" style="36" min="5397" max="5397"/>
    <col width="9.42578125" customWidth="1" style="36" min="5398" max="5398"/>
    <col width="11.5703125" customWidth="1" style="36" min="5399" max="5399"/>
    <col width="8.5703125" bestFit="1" customWidth="1" style="36" min="5400" max="5400"/>
    <col width="9.42578125" customWidth="1" style="36" min="5401" max="5401"/>
    <col width="11.5703125" customWidth="1" style="36" min="5402" max="5402"/>
    <col width="6.42578125" customWidth="1" style="36" min="5403" max="5403"/>
    <col width="9.140625" customWidth="1" style="36" min="5404" max="5631"/>
    <col width="6.140625" customWidth="1" style="36" min="5632" max="5632"/>
    <col width="9.42578125" customWidth="1" style="36" min="5633" max="5633"/>
    <col width="12.140625" customWidth="1" style="36" min="5634" max="5634"/>
    <col width="8.85546875" bestFit="1" customWidth="1" style="36" min="5635" max="5635"/>
    <col width="9.42578125" customWidth="1" style="36" min="5636" max="5636"/>
    <col width="11.5703125" customWidth="1" style="36" min="5637" max="5637"/>
    <col width="5.42578125" customWidth="1" style="36" min="5638" max="5638"/>
    <col width="9.42578125" customWidth="1" style="36" min="5639" max="5639"/>
    <col width="11.5703125" customWidth="1" style="36" min="5640" max="5640"/>
    <col width="5.42578125" customWidth="1" style="36" min="5641" max="5641"/>
    <col width="9.42578125" customWidth="1" style="36" min="5642" max="5642"/>
    <col width="11.5703125" customWidth="1" style="36" min="5643" max="5643"/>
    <col width="5.42578125" customWidth="1" style="36" min="5644" max="5644"/>
    <col width="9.42578125" customWidth="1" style="36" min="5645" max="5645"/>
    <col width="11.5703125" customWidth="1" style="36" min="5646" max="5646"/>
    <col width="5.42578125" customWidth="1" style="36" min="5647" max="5647"/>
    <col width="9.42578125" customWidth="1" style="36" min="5648" max="5648"/>
    <col width="11.5703125" customWidth="1" style="36" min="5649" max="5649"/>
    <col width="5.42578125" customWidth="1" style="36" min="5650" max="5650"/>
    <col width="9.42578125" customWidth="1" style="36" min="5651" max="5651"/>
    <col width="11.5703125" customWidth="1" style="36" min="5652" max="5652"/>
    <col width="5.42578125" customWidth="1" style="36" min="5653" max="5653"/>
    <col width="9.42578125" customWidth="1" style="36" min="5654" max="5654"/>
    <col width="11.5703125" customWidth="1" style="36" min="5655" max="5655"/>
    <col width="8.5703125" bestFit="1" customWidth="1" style="36" min="5656" max="5656"/>
    <col width="9.42578125" customWidth="1" style="36" min="5657" max="5657"/>
    <col width="11.5703125" customWidth="1" style="36" min="5658" max="5658"/>
    <col width="6.42578125" customWidth="1" style="36" min="5659" max="5659"/>
    <col width="9.140625" customWidth="1" style="36" min="5660" max="5887"/>
    <col width="6.140625" customWidth="1" style="36" min="5888" max="5888"/>
    <col width="9.42578125" customWidth="1" style="36" min="5889" max="5889"/>
    <col width="12.140625" customWidth="1" style="36" min="5890" max="5890"/>
    <col width="8.85546875" bestFit="1" customWidth="1" style="36" min="5891" max="5891"/>
    <col width="9.42578125" customWidth="1" style="36" min="5892" max="5892"/>
    <col width="11.5703125" customWidth="1" style="36" min="5893" max="5893"/>
    <col width="5.42578125" customWidth="1" style="36" min="5894" max="5894"/>
    <col width="9.42578125" customWidth="1" style="36" min="5895" max="5895"/>
    <col width="11.5703125" customWidth="1" style="36" min="5896" max="5896"/>
    <col width="5.42578125" customWidth="1" style="36" min="5897" max="5897"/>
    <col width="9.42578125" customWidth="1" style="36" min="5898" max="5898"/>
    <col width="11.5703125" customWidth="1" style="36" min="5899" max="5899"/>
    <col width="5.42578125" customWidth="1" style="36" min="5900" max="5900"/>
    <col width="9.42578125" customWidth="1" style="36" min="5901" max="5901"/>
    <col width="11.5703125" customWidth="1" style="36" min="5902" max="5902"/>
    <col width="5.42578125" customWidth="1" style="36" min="5903" max="5903"/>
    <col width="9.42578125" customWidth="1" style="36" min="5904" max="5904"/>
    <col width="11.5703125" customWidth="1" style="36" min="5905" max="5905"/>
    <col width="5.42578125" customWidth="1" style="36" min="5906" max="5906"/>
    <col width="9.42578125" customWidth="1" style="36" min="5907" max="5907"/>
    <col width="11.5703125" customWidth="1" style="36" min="5908" max="5908"/>
    <col width="5.42578125" customWidth="1" style="36" min="5909" max="5909"/>
    <col width="9.42578125" customWidth="1" style="36" min="5910" max="5910"/>
    <col width="11.5703125" customWidth="1" style="36" min="5911" max="5911"/>
    <col width="8.5703125" bestFit="1" customWidth="1" style="36" min="5912" max="5912"/>
    <col width="9.42578125" customWidth="1" style="36" min="5913" max="5913"/>
    <col width="11.5703125" customWidth="1" style="36" min="5914" max="5914"/>
    <col width="6.42578125" customWidth="1" style="36" min="5915" max="5915"/>
    <col width="9.140625" customWidth="1" style="36" min="5916" max="6143"/>
    <col width="6.140625" customWidth="1" style="36" min="6144" max="6144"/>
    <col width="9.42578125" customWidth="1" style="36" min="6145" max="6145"/>
    <col width="12.140625" customWidth="1" style="36" min="6146" max="6146"/>
    <col width="8.85546875" bestFit="1" customWidth="1" style="36" min="6147" max="6147"/>
    <col width="9.42578125" customWidth="1" style="36" min="6148" max="6148"/>
    <col width="11.5703125" customWidth="1" style="36" min="6149" max="6149"/>
    <col width="5.42578125" customWidth="1" style="36" min="6150" max="6150"/>
    <col width="9.42578125" customWidth="1" style="36" min="6151" max="6151"/>
    <col width="11.5703125" customWidth="1" style="36" min="6152" max="6152"/>
    <col width="5.42578125" customWidth="1" style="36" min="6153" max="6153"/>
    <col width="9.42578125" customWidth="1" style="36" min="6154" max="6154"/>
    <col width="11.5703125" customWidth="1" style="36" min="6155" max="6155"/>
    <col width="5.42578125" customWidth="1" style="36" min="6156" max="6156"/>
    <col width="9.42578125" customWidth="1" style="36" min="6157" max="6157"/>
    <col width="11.5703125" customWidth="1" style="36" min="6158" max="6158"/>
    <col width="5.42578125" customWidth="1" style="36" min="6159" max="6159"/>
    <col width="9.42578125" customWidth="1" style="36" min="6160" max="6160"/>
    <col width="11.5703125" customWidth="1" style="36" min="6161" max="6161"/>
    <col width="5.42578125" customWidth="1" style="36" min="6162" max="6162"/>
    <col width="9.42578125" customWidth="1" style="36" min="6163" max="6163"/>
    <col width="11.5703125" customWidth="1" style="36" min="6164" max="6164"/>
    <col width="5.42578125" customWidth="1" style="36" min="6165" max="6165"/>
    <col width="9.42578125" customWidth="1" style="36" min="6166" max="6166"/>
    <col width="11.5703125" customWidth="1" style="36" min="6167" max="6167"/>
    <col width="8.5703125" bestFit="1" customWidth="1" style="36" min="6168" max="6168"/>
    <col width="9.42578125" customWidth="1" style="36" min="6169" max="6169"/>
    <col width="11.5703125" customWidth="1" style="36" min="6170" max="6170"/>
    <col width="6.42578125" customWidth="1" style="36" min="6171" max="6171"/>
    <col width="9.140625" customWidth="1" style="36" min="6172" max="6399"/>
    <col width="6.140625" customWidth="1" style="36" min="6400" max="6400"/>
    <col width="9.42578125" customWidth="1" style="36" min="6401" max="6401"/>
    <col width="12.140625" customWidth="1" style="36" min="6402" max="6402"/>
    <col width="8.85546875" bestFit="1" customWidth="1" style="36" min="6403" max="6403"/>
    <col width="9.42578125" customWidth="1" style="36" min="6404" max="6404"/>
    <col width="11.5703125" customWidth="1" style="36" min="6405" max="6405"/>
    <col width="5.42578125" customWidth="1" style="36" min="6406" max="6406"/>
    <col width="9.42578125" customWidth="1" style="36" min="6407" max="6407"/>
    <col width="11.5703125" customWidth="1" style="36" min="6408" max="6408"/>
    <col width="5.42578125" customWidth="1" style="36" min="6409" max="6409"/>
    <col width="9.42578125" customWidth="1" style="36" min="6410" max="6410"/>
    <col width="11.5703125" customWidth="1" style="36" min="6411" max="6411"/>
    <col width="5.42578125" customWidth="1" style="36" min="6412" max="6412"/>
    <col width="9.42578125" customWidth="1" style="36" min="6413" max="6413"/>
    <col width="11.5703125" customWidth="1" style="36" min="6414" max="6414"/>
    <col width="5.42578125" customWidth="1" style="36" min="6415" max="6415"/>
    <col width="9.42578125" customWidth="1" style="36" min="6416" max="6416"/>
    <col width="11.5703125" customWidth="1" style="36" min="6417" max="6417"/>
    <col width="5.42578125" customWidth="1" style="36" min="6418" max="6418"/>
    <col width="9.42578125" customWidth="1" style="36" min="6419" max="6419"/>
    <col width="11.5703125" customWidth="1" style="36" min="6420" max="6420"/>
    <col width="5.42578125" customWidth="1" style="36" min="6421" max="6421"/>
    <col width="9.42578125" customWidth="1" style="36" min="6422" max="6422"/>
    <col width="11.5703125" customWidth="1" style="36" min="6423" max="6423"/>
    <col width="8.5703125" bestFit="1" customWidth="1" style="36" min="6424" max="6424"/>
    <col width="9.42578125" customWidth="1" style="36" min="6425" max="6425"/>
    <col width="11.5703125" customWidth="1" style="36" min="6426" max="6426"/>
    <col width="6.42578125" customWidth="1" style="36" min="6427" max="6427"/>
    <col width="9.140625" customWidth="1" style="36" min="6428" max="6655"/>
    <col width="6.140625" customWidth="1" style="36" min="6656" max="6656"/>
    <col width="9.42578125" customWidth="1" style="36" min="6657" max="6657"/>
    <col width="12.140625" customWidth="1" style="36" min="6658" max="6658"/>
    <col width="8.85546875" bestFit="1" customWidth="1" style="36" min="6659" max="6659"/>
    <col width="9.42578125" customWidth="1" style="36" min="6660" max="6660"/>
    <col width="11.5703125" customWidth="1" style="36" min="6661" max="6661"/>
    <col width="5.42578125" customWidth="1" style="36" min="6662" max="6662"/>
    <col width="9.42578125" customWidth="1" style="36" min="6663" max="6663"/>
    <col width="11.5703125" customWidth="1" style="36" min="6664" max="6664"/>
    <col width="5.42578125" customWidth="1" style="36" min="6665" max="6665"/>
    <col width="9.42578125" customWidth="1" style="36" min="6666" max="6666"/>
    <col width="11.5703125" customWidth="1" style="36" min="6667" max="6667"/>
    <col width="5.42578125" customWidth="1" style="36" min="6668" max="6668"/>
    <col width="9.42578125" customWidth="1" style="36" min="6669" max="6669"/>
    <col width="11.5703125" customWidth="1" style="36" min="6670" max="6670"/>
    <col width="5.42578125" customWidth="1" style="36" min="6671" max="6671"/>
    <col width="9.42578125" customWidth="1" style="36" min="6672" max="6672"/>
    <col width="11.5703125" customWidth="1" style="36" min="6673" max="6673"/>
    <col width="5.42578125" customWidth="1" style="36" min="6674" max="6674"/>
    <col width="9.42578125" customWidth="1" style="36" min="6675" max="6675"/>
    <col width="11.5703125" customWidth="1" style="36" min="6676" max="6676"/>
    <col width="5.42578125" customWidth="1" style="36" min="6677" max="6677"/>
    <col width="9.42578125" customWidth="1" style="36" min="6678" max="6678"/>
    <col width="11.5703125" customWidth="1" style="36" min="6679" max="6679"/>
    <col width="8.5703125" bestFit="1" customWidth="1" style="36" min="6680" max="6680"/>
    <col width="9.42578125" customWidth="1" style="36" min="6681" max="6681"/>
    <col width="11.5703125" customWidth="1" style="36" min="6682" max="6682"/>
    <col width="6.42578125" customWidth="1" style="36" min="6683" max="6683"/>
    <col width="9.140625" customWidth="1" style="36" min="6684" max="6911"/>
    <col width="6.140625" customWidth="1" style="36" min="6912" max="6912"/>
    <col width="9.42578125" customWidth="1" style="36" min="6913" max="6913"/>
    <col width="12.140625" customWidth="1" style="36" min="6914" max="6914"/>
    <col width="8.85546875" bestFit="1" customWidth="1" style="36" min="6915" max="6915"/>
    <col width="9.42578125" customWidth="1" style="36" min="6916" max="6916"/>
    <col width="11.5703125" customWidth="1" style="36" min="6917" max="6917"/>
    <col width="5.42578125" customWidth="1" style="36" min="6918" max="6918"/>
    <col width="9.42578125" customWidth="1" style="36" min="6919" max="6919"/>
    <col width="11.5703125" customWidth="1" style="36" min="6920" max="6920"/>
    <col width="5.42578125" customWidth="1" style="36" min="6921" max="6921"/>
    <col width="9.42578125" customWidth="1" style="36" min="6922" max="6922"/>
    <col width="11.5703125" customWidth="1" style="36" min="6923" max="6923"/>
    <col width="5.42578125" customWidth="1" style="36" min="6924" max="6924"/>
    <col width="9.42578125" customWidth="1" style="36" min="6925" max="6925"/>
    <col width="11.5703125" customWidth="1" style="36" min="6926" max="6926"/>
    <col width="5.42578125" customWidth="1" style="36" min="6927" max="6927"/>
    <col width="9.42578125" customWidth="1" style="36" min="6928" max="6928"/>
    <col width="11.5703125" customWidth="1" style="36" min="6929" max="6929"/>
    <col width="5.42578125" customWidth="1" style="36" min="6930" max="6930"/>
    <col width="9.42578125" customWidth="1" style="36" min="6931" max="6931"/>
    <col width="11.5703125" customWidth="1" style="36" min="6932" max="6932"/>
    <col width="5.42578125" customWidth="1" style="36" min="6933" max="6933"/>
    <col width="9.42578125" customWidth="1" style="36" min="6934" max="6934"/>
    <col width="11.5703125" customWidth="1" style="36" min="6935" max="6935"/>
    <col width="8.5703125" bestFit="1" customWidth="1" style="36" min="6936" max="6936"/>
    <col width="9.42578125" customWidth="1" style="36" min="6937" max="6937"/>
    <col width="11.5703125" customWidth="1" style="36" min="6938" max="6938"/>
    <col width="6.42578125" customWidth="1" style="36" min="6939" max="6939"/>
    <col width="9.140625" customWidth="1" style="36" min="6940" max="7167"/>
    <col width="6.140625" customWidth="1" style="36" min="7168" max="7168"/>
    <col width="9.42578125" customWidth="1" style="36" min="7169" max="7169"/>
    <col width="12.140625" customWidth="1" style="36" min="7170" max="7170"/>
    <col width="8.85546875" bestFit="1" customWidth="1" style="36" min="7171" max="7171"/>
    <col width="9.42578125" customWidth="1" style="36" min="7172" max="7172"/>
    <col width="11.5703125" customWidth="1" style="36" min="7173" max="7173"/>
    <col width="5.42578125" customWidth="1" style="36" min="7174" max="7174"/>
    <col width="9.42578125" customWidth="1" style="36" min="7175" max="7175"/>
    <col width="11.5703125" customWidth="1" style="36" min="7176" max="7176"/>
    <col width="5.42578125" customWidth="1" style="36" min="7177" max="7177"/>
    <col width="9.42578125" customWidth="1" style="36" min="7178" max="7178"/>
    <col width="11.5703125" customWidth="1" style="36" min="7179" max="7179"/>
    <col width="5.42578125" customWidth="1" style="36" min="7180" max="7180"/>
    <col width="9.42578125" customWidth="1" style="36" min="7181" max="7181"/>
    <col width="11.5703125" customWidth="1" style="36" min="7182" max="7182"/>
    <col width="5.42578125" customWidth="1" style="36" min="7183" max="7183"/>
    <col width="9.42578125" customWidth="1" style="36" min="7184" max="7184"/>
    <col width="11.5703125" customWidth="1" style="36" min="7185" max="7185"/>
    <col width="5.42578125" customWidth="1" style="36" min="7186" max="7186"/>
    <col width="9.42578125" customWidth="1" style="36" min="7187" max="7187"/>
    <col width="11.5703125" customWidth="1" style="36" min="7188" max="7188"/>
    <col width="5.42578125" customWidth="1" style="36" min="7189" max="7189"/>
    <col width="9.42578125" customWidth="1" style="36" min="7190" max="7190"/>
    <col width="11.5703125" customWidth="1" style="36" min="7191" max="7191"/>
    <col width="8.5703125" bestFit="1" customWidth="1" style="36" min="7192" max="7192"/>
    <col width="9.42578125" customWidth="1" style="36" min="7193" max="7193"/>
    <col width="11.5703125" customWidth="1" style="36" min="7194" max="7194"/>
    <col width="6.42578125" customWidth="1" style="36" min="7195" max="7195"/>
    <col width="9.140625" customWidth="1" style="36" min="7196" max="7423"/>
    <col width="6.140625" customWidth="1" style="36" min="7424" max="7424"/>
    <col width="9.42578125" customWidth="1" style="36" min="7425" max="7425"/>
    <col width="12.140625" customWidth="1" style="36" min="7426" max="7426"/>
    <col width="8.85546875" bestFit="1" customWidth="1" style="36" min="7427" max="7427"/>
    <col width="9.42578125" customWidth="1" style="36" min="7428" max="7428"/>
    <col width="11.5703125" customWidth="1" style="36" min="7429" max="7429"/>
    <col width="5.42578125" customWidth="1" style="36" min="7430" max="7430"/>
    <col width="9.42578125" customWidth="1" style="36" min="7431" max="7431"/>
    <col width="11.5703125" customWidth="1" style="36" min="7432" max="7432"/>
    <col width="5.42578125" customWidth="1" style="36" min="7433" max="7433"/>
    <col width="9.42578125" customWidth="1" style="36" min="7434" max="7434"/>
    <col width="11.5703125" customWidth="1" style="36" min="7435" max="7435"/>
    <col width="5.42578125" customWidth="1" style="36" min="7436" max="7436"/>
    <col width="9.42578125" customWidth="1" style="36" min="7437" max="7437"/>
    <col width="11.5703125" customWidth="1" style="36" min="7438" max="7438"/>
    <col width="5.42578125" customWidth="1" style="36" min="7439" max="7439"/>
    <col width="9.42578125" customWidth="1" style="36" min="7440" max="7440"/>
    <col width="11.5703125" customWidth="1" style="36" min="7441" max="7441"/>
    <col width="5.42578125" customWidth="1" style="36" min="7442" max="7442"/>
    <col width="9.42578125" customWidth="1" style="36" min="7443" max="7443"/>
    <col width="11.5703125" customWidth="1" style="36" min="7444" max="7444"/>
    <col width="5.42578125" customWidth="1" style="36" min="7445" max="7445"/>
    <col width="9.42578125" customWidth="1" style="36" min="7446" max="7446"/>
    <col width="11.5703125" customWidth="1" style="36" min="7447" max="7447"/>
    <col width="8.5703125" bestFit="1" customWidth="1" style="36" min="7448" max="7448"/>
    <col width="9.42578125" customWidth="1" style="36" min="7449" max="7449"/>
    <col width="11.5703125" customWidth="1" style="36" min="7450" max="7450"/>
    <col width="6.42578125" customWidth="1" style="36" min="7451" max="7451"/>
    <col width="9.140625" customWidth="1" style="36" min="7452" max="7679"/>
    <col width="6.140625" customWidth="1" style="36" min="7680" max="7680"/>
    <col width="9.42578125" customWidth="1" style="36" min="7681" max="7681"/>
    <col width="12.140625" customWidth="1" style="36" min="7682" max="7682"/>
    <col width="8.85546875" bestFit="1" customWidth="1" style="36" min="7683" max="7683"/>
    <col width="9.42578125" customWidth="1" style="36" min="7684" max="7684"/>
    <col width="11.5703125" customWidth="1" style="36" min="7685" max="7685"/>
    <col width="5.42578125" customWidth="1" style="36" min="7686" max="7686"/>
    <col width="9.42578125" customWidth="1" style="36" min="7687" max="7687"/>
    <col width="11.5703125" customWidth="1" style="36" min="7688" max="7688"/>
    <col width="5.42578125" customWidth="1" style="36" min="7689" max="7689"/>
    <col width="9.42578125" customWidth="1" style="36" min="7690" max="7690"/>
    <col width="11.5703125" customWidth="1" style="36" min="7691" max="7691"/>
    <col width="5.42578125" customWidth="1" style="36" min="7692" max="7692"/>
    <col width="9.42578125" customWidth="1" style="36" min="7693" max="7693"/>
    <col width="11.5703125" customWidth="1" style="36" min="7694" max="7694"/>
    <col width="5.42578125" customWidth="1" style="36" min="7695" max="7695"/>
    <col width="9.42578125" customWidth="1" style="36" min="7696" max="7696"/>
    <col width="11.5703125" customWidth="1" style="36" min="7697" max="7697"/>
    <col width="5.42578125" customWidth="1" style="36" min="7698" max="7698"/>
    <col width="9.42578125" customWidth="1" style="36" min="7699" max="7699"/>
    <col width="11.5703125" customWidth="1" style="36" min="7700" max="7700"/>
    <col width="5.42578125" customWidth="1" style="36" min="7701" max="7701"/>
    <col width="9.42578125" customWidth="1" style="36" min="7702" max="7702"/>
    <col width="11.5703125" customWidth="1" style="36" min="7703" max="7703"/>
    <col width="8.5703125" bestFit="1" customWidth="1" style="36" min="7704" max="7704"/>
    <col width="9.42578125" customWidth="1" style="36" min="7705" max="7705"/>
    <col width="11.5703125" customWidth="1" style="36" min="7706" max="7706"/>
    <col width="6.42578125" customWidth="1" style="36" min="7707" max="7707"/>
    <col width="9.140625" customWidth="1" style="36" min="7708" max="7935"/>
    <col width="6.140625" customWidth="1" style="36" min="7936" max="7936"/>
    <col width="9.42578125" customWidth="1" style="36" min="7937" max="7937"/>
    <col width="12.140625" customWidth="1" style="36" min="7938" max="7938"/>
    <col width="8.85546875" bestFit="1" customWidth="1" style="36" min="7939" max="7939"/>
    <col width="9.42578125" customWidth="1" style="36" min="7940" max="7940"/>
    <col width="11.5703125" customWidth="1" style="36" min="7941" max="7941"/>
    <col width="5.42578125" customWidth="1" style="36" min="7942" max="7942"/>
    <col width="9.42578125" customWidth="1" style="36" min="7943" max="7943"/>
    <col width="11.5703125" customWidth="1" style="36" min="7944" max="7944"/>
    <col width="5.42578125" customWidth="1" style="36" min="7945" max="7945"/>
    <col width="9.42578125" customWidth="1" style="36" min="7946" max="7946"/>
    <col width="11.5703125" customWidth="1" style="36" min="7947" max="7947"/>
    <col width="5.42578125" customWidth="1" style="36" min="7948" max="7948"/>
    <col width="9.42578125" customWidth="1" style="36" min="7949" max="7949"/>
    <col width="11.5703125" customWidth="1" style="36" min="7950" max="7950"/>
    <col width="5.42578125" customWidth="1" style="36" min="7951" max="7951"/>
    <col width="9.42578125" customWidth="1" style="36" min="7952" max="7952"/>
    <col width="11.5703125" customWidth="1" style="36" min="7953" max="7953"/>
    <col width="5.42578125" customWidth="1" style="36" min="7954" max="7954"/>
    <col width="9.42578125" customWidth="1" style="36" min="7955" max="7955"/>
    <col width="11.5703125" customWidth="1" style="36" min="7956" max="7956"/>
    <col width="5.42578125" customWidth="1" style="36" min="7957" max="7957"/>
    <col width="9.42578125" customWidth="1" style="36" min="7958" max="7958"/>
    <col width="11.5703125" customWidth="1" style="36" min="7959" max="7959"/>
    <col width="8.5703125" bestFit="1" customWidth="1" style="36" min="7960" max="7960"/>
    <col width="9.42578125" customWidth="1" style="36" min="7961" max="7961"/>
    <col width="11.5703125" customWidth="1" style="36" min="7962" max="7962"/>
    <col width="6.42578125" customWidth="1" style="36" min="7963" max="7963"/>
    <col width="9.140625" customWidth="1" style="36" min="7964" max="8191"/>
    <col width="6.140625" customWidth="1" style="36" min="8192" max="8192"/>
    <col width="9.42578125" customWidth="1" style="36" min="8193" max="8193"/>
    <col width="12.140625" customWidth="1" style="36" min="8194" max="8194"/>
    <col width="8.85546875" bestFit="1" customWidth="1" style="36" min="8195" max="8195"/>
    <col width="9.42578125" customWidth="1" style="36" min="8196" max="8196"/>
    <col width="11.5703125" customWidth="1" style="36" min="8197" max="8197"/>
    <col width="5.42578125" customWidth="1" style="36" min="8198" max="8198"/>
    <col width="9.42578125" customWidth="1" style="36" min="8199" max="8199"/>
    <col width="11.5703125" customWidth="1" style="36" min="8200" max="8200"/>
    <col width="5.42578125" customWidth="1" style="36" min="8201" max="8201"/>
    <col width="9.42578125" customWidth="1" style="36" min="8202" max="8202"/>
    <col width="11.5703125" customWidth="1" style="36" min="8203" max="8203"/>
    <col width="5.42578125" customWidth="1" style="36" min="8204" max="8204"/>
    <col width="9.42578125" customWidth="1" style="36" min="8205" max="8205"/>
    <col width="11.5703125" customWidth="1" style="36" min="8206" max="8206"/>
    <col width="5.42578125" customWidth="1" style="36" min="8207" max="8207"/>
    <col width="9.42578125" customWidth="1" style="36" min="8208" max="8208"/>
    <col width="11.5703125" customWidth="1" style="36" min="8209" max="8209"/>
    <col width="5.42578125" customWidth="1" style="36" min="8210" max="8210"/>
    <col width="9.42578125" customWidth="1" style="36" min="8211" max="8211"/>
    <col width="11.5703125" customWidth="1" style="36" min="8212" max="8212"/>
    <col width="5.42578125" customWidth="1" style="36" min="8213" max="8213"/>
    <col width="9.42578125" customWidth="1" style="36" min="8214" max="8214"/>
    <col width="11.5703125" customWidth="1" style="36" min="8215" max="8215"/>
    <col width="8.5703125" bestFit="1" customWidth="1" style="36" min="8216" max="8216"/>
    <col width="9.42578125" customWidth="1" style="36" min="8217" max="8217"/>
    <col width="11.5703125" customWidth="1" style="36" min="8218" max="8218"/>
    <col width="6.42578125" customWidth="1" style="36" min="8219" max="8219"/>
    <col width="9.140625" customWidth="1" style="36" min="8220" max="8447"/>
    <col width="6.140625" customWidth="1" style="36" min="8448" max="8448"/>
    <col width="9.42578125" customWidth="1" style="36" min="8449" max="8449"/>
    <col width="12.140625" customWidth="1" style="36" min="8450" max="8450"/>
    <col width="8.85546875" bestFit="1" customWidth="1" style="36" min="8451" max="8451"/>
    <col width="9.42578125" customWidth="1" style="36" min="8452" max="8452"/>
    <col width="11.5703125" customWidth="1" style="36" min="8453" max="8453"/>
    <col width="5.42578125" customWidth="1" style="36" min="8454" max="8454"/>
    <col width="9.42578125" customWidth="1" style="36" min="8455" max="8455"/>
    <col width="11.5703125" customWidth="1" style="36" min="8456" max="8456"/>
    <col width="5.42578125" customWidth="1" style="36" min="8457" max="8457"/>
    <col width="9.42578125" customWidth="1" style="36" min="8458" max="8458"/>
    <col width="11.5703125" customWidth="1" style="36" min="8459" max="8459"/>
    <col width="5.42578125" customWidth="1" style="36" min="8460" max="8460"/>
    <col width="9.42578125" customWidth="1" style="36" min="8461" max="8461"/>
    <col width="11.5703125" customWidth="1" style="36" min="8462" max="8462"/>
    <col width="5.42578125" customWidth="1" style="36" min="8463" max="8463"/>
    <col width="9.42578125" customWidth="1" style="36" min="8464" max="8464"/>
    <col width="11.5703125" customWidth="1" style="36" min="8465" max="8465"/>
    <col width="5.42578125" customWidth="1" style="36" min="8466" max="8466"/>
    <col width="9.42578125" customWidth="1" style="36" min="8467" max="8467"/>
    <col width="11.5703125" customWidth="1" style="36" min="8468" max="8468"/>
    <col width="5.42578125" customWidth="1" style="36" min="8469" max="8469"/>
    <col width="9.42578125" customWidth="1" style="36" min="8470" max="8470"/>
    <col width="11.5703125" customWidth="1" style="36" min="8471" max="8471"/>
    <col width="8.5703125" bestFit="1" customWidth="1" style="36" min="8472" max="8472"/>
    <col width="9.42578125" customWidth="1" style="36" min="8473" max="8473"/>
    <col width="11.5703125" customWidth="1" style="36" min="8474" max="8474"/>
    <col width="6.42578125" customWidth="1" style="36" min="8475" max="8475"/>
    <col width="9.140625" customWidth="1" style="36" min="8476" max="8703"/>
    <col width="6.140625" customWidth="1" style="36" min="8704" max="8704"/>
    <col width="9.42578125" customWidth="1" style="36" min="8705" max="8705"/>
    <col width="12.140625" customWidth="1" style="36" min="8706" max="8706"/>
    <col width="8.85546875" bestFit="1" customWidth="1" style="36" min="8707" max="8707"/>
    <col width="9.42578125" customWidth="1" style="36" min="8708" max="8708"/>
    <col width="11.5703125" customWidth="1" style="36" min="8709" max="8709"/>
    <col width="5.42578125" customWidth="1" style="36" min="8710" max="8710"/>
    <col width="9.42578125" customWidth="1" style="36" min="8711" max="8711"/>
    <col width="11.5703125" customWidth="1" style="36" min="8712" max="8712"/>
    <col width="5.42578125" customWidth="1" style="36" min="8713" max="8713"/>
    <col width="9.42578125" customWidth="1" style="36" min="8714" max="8714"/>
    <col width="11.5703125" customWidth="1" style="36" min="8715" max="8715"/>
    <col width="5.42578125" customWidth="1" style="36" min="8716" max="8716"/>
    <col width="9.42578125" customWidth="1" style="36" min="8717" max="8717"/>
    <col width="11.5703125" customWidth="1" style="36" min="8718" max="8718"/>
    <col width="5.42578125" customWidth="1" style="36" min="8719" max="8719"/>
    <col width="9.42578125" customWidth="1" style="36" min="8720" max="8720"/>
    <col width="11.5703125" customWidth="1" style="36" min="8721" max="8721"/>
    <col width="5.42578125" customWidth="1" style="36" min="8722" max="8722"/>
    <col width="9.42578125" customWidth="1" style="36" min="8723" max="8723"/>
    <col width="11.5703125" customWidth="1" style="36" min="8724" max="8724"/>
    <col width="5.42578125" customWidth="1" style="36" min="8725" max="8725"/>
    <col width="9.42578125" customWidth="1" style="36" min="8726" max="8726"/>
    <col width="11.5703125" customWidth="1" style="36" min="8727" max="8727"/>
    <col width="8.5703125" bestFit="1" customWidth="1" style="36" min="8728" max="8728"/>
    <col width="9.42578125" customWidth="1" style="36" min="8729" max="8729"/>
    <col width="11.5703125" customWidth="1" style="36" min="8730" max="8730"/>
    <col width="6.42578125" customWidth="1" style="36" min="8731" max="8731"/>
    <col width="9.140625" customWidth="1" style="36" min="8732" max="8959"/>
    <col width="6.140625" customWidth="1" style="36" min="8960" max="8960"/>
    <col width="9.42578125" customWidth="1" style="36" min="8961" max="8961"/>
    <col width="12.140625" customWidth="1" style="36" min="8962" max="8962"/>
    <col width="8.85546875" bestFit="1" customWidth="1" style="36" min="8963" max="8963"/>
    <col width="9.42578125" customWidth="1" style="36" min="8964" max="8964"/>
    <col width="11.5703125" customWidth="1" style="36" min="8965" max="8965"/>
    <col width="5.42578125" customWidth="1" style="36" min="8966" max="8966"/>
    <col width="9.42578125" customWidth="1" style="36" min="8967" max="8967"/>
    <col width="11.5703125" customWidth="1" style="36" min="8968" max="8968"/>
    <col width="5.42578125" customWidth="1" style="36" min="8969" max="8969"/>
    <col width="9.42578125" customWidth="1" style="36" min="8970" max="8970"/>
    <col width="11.5703125" customWidth="1" style="36" min="8971" max="8971"/>
    <col width="5.42578125" customWidth="1" style="36" min="8972" max="8972"/>
    <col width="9.42578125" customWidth="1" style="36" min="8973" max="8973"/>
    <col width="11.5703125" customWidth="1" style="36" min="8974" max="8974"/>
    <col width="5.42578125" customWidth="1" style="36" min="8975" max="8975"/>
    <col width="9.42578125" customWidth="1" style="36" min="8976" max="8976"/>
    <col width="11.5703125" customWidth="1" style="36" min="8977" max="8977"/>
    <col width="5.42578125" customWidth="1" style="36" min="8978" max="8978"/>
    <col width="9.42578125" customWidth="1" style="36" min="8979" max="8979"/>
    <col width="11.5703125" customWidth="1" style="36" min="8980" max="8980"/>
    <col width="5.42578125" customWidth="1" style="36" min="8981" max="8981"/>
    <col width="9.42578125" customWidth="1" style="36" min="8982" max="8982"/>
    <col width="11.5703125" customWidth="1" style="36" min="8983" max="8983"/>
    <col width="8.5703125" bestFit="1" customWidth="1" style="36" min="8984" max="8984"/>
    <col width="9.42578125" customWidth="1" style="36" min="8985" max="8985"/>
    <col width="11.5703125" customWidth="1" style="36" min="8986" max="8986"/>
    <col width="6.42578125" customWidth="1" style="36" min="8987" max="8987"/>
    <col width="9.140625" customWidth="1" style="36" min="8988" max="9215"/>
    <col width="6.140625" customWidth="1" style="36" min="9216" max="9216"/>
    <col width="9.42578125" customWidth="1" style="36" min="9217" max="9217"/>
    <col width="12.140625" customWidth="1" style="36" min="9218" max="9218"/>
    <col width="8.85546875" bestFit="1" customWidth="1" style="36" min="9219" max="9219"/>
    <col width="9.42578125" customWidth="1" style="36" min="9220" max="9220"/>
    <col width="11.5703125" customWidth="1" style="36" min="9221" max="9221"/>
    <col width="5.42578125" customWidth="1" style="36" min="9222" max="9222"/>
    <col width="9.42578125" customWidth="1" style="36" min="9223" max="9223"/>
    <col width="11.5703125" customWidth="1" style="36" min="9224" max="9224"/>
    <col width="5.42578125" customWidth="1" style="36" min="9225" max="9225"/>
    <col width="9.42578125" customWidth="1" style="36" min="9226" max="9226"/>
    <col width="11.5703125" customWidth="1" style="36" min="9227" max="9227"/>
    <col width="5.42578125" customWidth="1" style="36" min="9228" max="9228"/>
    <col width="9.42578125" customWidth="1" style="36" min="9229" max="9229"/>
    <col width="11.5703125" customWidth="1" style="36" min="9230" max="9230"/>
    <col width="5.42578125" customWidth="1" style="36" min="9231" max="9231"/>
    <col width="9.42578125" customWidth="1" style="36" min="9232" max="9232"/>
    <col width="11.5703125" customWidth="1" style="36" min="9233" max="9233"/>
    <col width="5.42578125" customWidth="1" style="36" min="9234" max="9234"/>
    <col width="9.42578125" customWidth="1" style="36" min="9235" max="9235"/>
    <col width="11.5703125" customWidth="1" style="36" min="9236" max="9236"/>
    <col width="5.42578125" customWidth="1" style="36" min="9237" max="9237"/>
    <col width="9.42578125" customWidth="1" style="36" min="9238" max="9238"/>
    <col width="11.5703125" customWidth="1" style="36" min="9239" max="9239"/>
    <col width="8.5703125" bestFit="1" customWidth="1" style="36" min="9240" max="9240"/>
    <col width="9.42578125" customWidth="1" style="36" min="9241" max="9241"/>
    <col width="11.5703125" customWidth="1" style="36" min="9242" max="9242"/>
    <col width="6.42578125" customWidth="1" style="36" min="9243" max="9243"/>
    <col width="9.140625" customWidth="1" style="36" min="9244" max="9471"/>
    <col width="6.140625" customWidth="1" style="36" min="9472" max="9472"/>
    <col width="9.42578125" customWidth="1" style="36" min="9473" max="9473"/>
    <col width="12.140625" customWidth="1" style="36" min="9474" max="9474"/>
    <col width="8.85546875" bestFit="1" customWidth="1" style="36" min="9475" max="9475"/>
    <col width="9.42578125" customWidth="1" style="36" min="9476" max="9476"/>
    <col width="11.5703125" customWidth="1" style="36" min="9477" max="9477"/>
    <col width="5.42578125" customWidth="1" style="36" min="9478" max="9478"/>
    <col width="9.42578125" customWidth="1" style="36" min="9479" max="9479"/>
    <col width="11.5703125" customWidth="1" style="36" min="9480" max="9480"/>
    <col width="5.42578125" customWidth="1" style="36" min="9481" max="9481"/>
    <col width="9.42578125" customWidth="1" style="36" min="9482" max="9482"/>
    <col width="11.5703125" customWidth="1" style="36" min="9483" max="9483"/>
    <col width="5.42578125" customWidth="1" style="36" min="9484" max="9484"/>
    <col width="9.42578125" customWidth="1" style="36" min="9485" max="9485"/>
    <col width="11.5703125" customWidth="1" style="36" min="9486" max="9486"/>
    <col width="5.42578125" customWidth="1" style="36" min="9487" max="9487"/>
    <col width="9.42578125" customWidth="1" style="36" min="9488" max="9488"/>
    <col width="11.5703125" customWidth="1" style="36" min="9489" max="9489"/>
    <col width="5.42578125" customWidth="1" style="36" min="9490" max="9490"/>
    <col width="9.42578125" customWidth="1" style="36" min="9491" max="9491"/>
    <col width="11.5703125" customWidth="1" style="36" min="9492" max="9492"/>
    <col width="5.42578125" customWidth="1" style="36" min="9493" max="9493"/>
    <col width="9.42578125" customWidth="1" style="36" min="9494" max="9494"/>
    <col width="11.5703125" customWidth="1" style="36" min="9495" max="9495"/>
    <col width="8.5703125" bestFit="1" customWidth="1" style="36" min="9496" max="9496"/>
    <col width="9.42578125" customWidth="1" style="36" min="9497" max="9497"/>
    <col width="11.5703125" customWidth="1" style="36" min="9498" max="9498"/>
    <col width="6.42578125" customWidth="1" style="36" min="9499" max="9499"/>
    <col width="9.140625" customWidth="1" style="36" min="9500" max="9727"/>
    <col width="6.140625" customWidth="1" style="36" min="9728" max="9728"/>
    <col width="9.42578125" customWidth="1" style="36" min="9729" max="9729"/>
    <col width="12.140625" customWidth="1" style="36" min="9730" max="9730"/>
    <col width="8.85546875" bestFit="1" customWidth="1" style="36" min="9731" max="9731"/>
    <col width="9.42578125" customWidth="1" style="36" min="9732" max="9732"/>
    <col width="11.5703125" customWidth="1" style="36" min="9733" max="9733"/>
    <col width="5.42578125" customWidth="1" style="36" min="9734" max="9734"/>
    <col width="9.42578125" customWidth="1" style="36" min="9735" max="9735"/>
    <col width="11.5703125" customWidth="1" style="36" min="9736" max="9736"/>
    <col width="5.42578125" customWidth="1" style="36" min="9737" max="9737"/>
    <col width="9.42578125" customWidth="1" style="36" min="9738" max="9738"/>
    <col width="11.5703125" customWidth="1" style="36" min="9739" max="9739"/>
    <col width="5.42578125" customWidth="1" style="36" min="9740" max="9740"/>
    <col width="9.42578125" customWidth="1" style="36" min="9741" max="9741"/>
    <col width="11.5703125" customWidth="1" style="36" min="9742" max="9742"/>
    <col width="5.42578125" customWidth="1" style="36" min="9743" max="9743"/>
    <col width="9.42578125" customWidth="1" style="36" min="9744" max="9744"/>
    <col width="11.5703125" customWidth="1" style="36" min="9745" max="9745"/>
    <col width="5.42578125" customWidth="1" style="36" min="9746" max="9746"/>
    <col width="9.42578125" customWidth="1" style="36" min="9747" max="9747"/>
    <col width="11.5703125" customWidth="1" style="36" min="9748" max="9748"/>
    <col width="5.42578125" customWidth="1" style="36" min="9749" max="9749"/>
    <col width="9.42578125" customWidth="1" style="36" min="9750" max="9750"/>
    <col width="11.5703125" customWidth="1" style="36" min="9751" max="9751"/>
    <col width="8.5703125" bestFit="1" customWidth="1" style="36" min="9752" max="9752"/>
    <col width="9.42578125" customWidth="1" style="36" min="9753" max="9753"/>
    <col width="11.5703125" customWidth="1" style="36" min="9754" max="9754"/>
    <col width="6.42578125" customWidth="1" style="36" min="9755" max="9755"/>
    <col width="9.140625" customWidth="1" style="36" min="9756" max="9983"/>
    <col width="6.140625" customWidth="1" style="36" min="9984" max="9984"/>
    <col width="9.42578125" customWidth="1" style="36" min="9985" max="9985"/>
    <col width="12.140625" customWidth="1" style="36" min="9986" max="9986"/>
    <col width="8.85546875" bestFit="1" customWidth="1" style="36" min="9987" max="9987"/>
    <col width="9.42578125" customWidth="1" style="36" min="9988" max="9988"/>
    <col width="11.5703125" customWidth="1" style="36" min="9989" max="9989"/>
    <col width="5.42578125" customWidth="1" style="36" min="9990" max="9990"/>
    <col width="9.42578125" customWidth="1" style="36" min="9991" max="9991"/>
    <col width="11.5703125" customWidth="1" style="36" min="9992" max="9992"/>
    <col width="5.42578125" customWidth="1" style="36" min="9993" max="9993"/>
    <col width="9.42578125" customWidth="1" style="36" min="9994" max="9994"/>
    <col width="11.5703125" customWidth="1" style="36" min="9995" max="9995"/>
    <col width="5.42578125" customWidth="1" style="36" min="9996" max="9996"/>
    <col width="9.42578125" customWidth="1" style="36" min="9997" max="9997"/>
    <col width="11.5703125" customWidth="1" style="36" min="9998" max="9998"/>
    <col width="5.42578125" customWidth="1" style="36" min="9999" max="9999"/>
    <col width="9.42578125" customWidth="1" style="36" min="10000" max="10000"/>
    <col width="11.5703125" customWidth="1" style="36" min="10001" max="10001"/>
    <col width="5.42578125" customWidth="1" style="36" min="10002" max="10002"/>
    <col width="9.42578125" customWidth="1" style="36" min="10003" max="10003"/>
    <col width="11.5703125" customWidth="1" style="36" min="10004" max="10004"/>
    <col width="5.42578125" customWidth="1" style="36" min="10005" max="10005"/>
    <col width="9.42578125" customWidth="1" style="36" min="10006" max="10006"/>
    <col width="11.5703125" customWidth="1" style="36" min="10007" max="10007"/>
    <col width="8.5703125" bestFit="1" customWidth="1" style="36" min="10008" max="10008"/>
    <col width="9.42578125" customWidth="1" style="36" min="10009" max="10009"/>
    <col width="11.5703125" customWidth="1" style="36" min="10010" max="10010"/>
    <col width="6.42578125" customWidth="1" style="36" min="10011" max="10011"/>
    <col width="9.140625" customWidth="1" style="36" min="10012" max="10239"/>
    <col width="6.140625" customWidth="1" style="36" min="10240" max="10240"/>
    <col width="9.42578125" customWidth="1" style="36" min="10241" max="10241"/>
    <col width="12.140625" customWidth="1" style="36" min="10242" max="10242"/>
    <col width="8.85546875" bestFit="1" customWidth="1" style="36" min="10243" max="10243"/>
    <col width="9.42578125" customWidth="1" style="36" min="10244" max="10244"/>
    <col width="11.5703125" customWidth="1" style="36" min="10245" max="10245"/>
    <col width="5.42578125" customWidth="1" style="36" min="10246" max="10246"/>
    <col width="9.42578125" customWidth="1" style="36" min="10247" max="10247"/>
    <col width="11.5703125" customWidth="1" style="36" min="10248" max="10248"/>
    <col width="5.42578125" customWidth="1" style="36" min="10249" max="10249"/>
    <col width="9.42578125" customWidth="1" style="36" min="10250" max="10250"/>
    <col width="11.5703125" customWidth="1" style="36" min="10251" max="10251"/>
    <col width="5.42578125" customWidth="1" style="36" min="10252" max="10252"/>
    <col width="9.42578125" customWidth="1" style="36" min="10253" max="10253"/>
    <col width="11.5703125" customWidth="1" style="36" min="10254" max="10254"/>
    <col width="5.42578125" customWidth="1" style="36" min="10255" max="10255"/>
    <col width="9.42578125" customWidth="1" style="36" min="10256" max="10256"/>
    <col width="11.5703125" customWidth="1" style="36" min="10257" max="10257"/>
    <col width="5.42578125" customWidth="1" style="36" min="10258" max="10258"/>
    <col width="9.42578125" customWidth="1" style="36" min="10259" max="10259"/>
    <col width="11.5703125" customWidth="1" style="36" min="10260" max="10260"/>
    <col width="5.42578125" customWidth="1" style="36" min="10261" max="10261"/>
    <col width="9.42578125" customWidth="1" style="36" min="10262" max="10262"/>
    <col width="11.5703125" customWidth="1" style="36" min="10263" max="10263"/>
    <col width="8.5703125" bestFit="1" customWidth="1" style="36" min="10264" max="10264"/>
    <col width="9.42578125" customWidth="1" style="36" min="10265" max="10265"/>
    <col width="11.5703125" customWidth="1" style="36" min="10266" max="10266"/>
    <col width="6.42578125" customWidth="1" style="36" min="10267" max="10267"/>
    <col width="9.140625" customWidth="1" style="36" min="10268" max="10495"/>
    <col width="6.140625" customWidth="1" style="36" min="10496" max="10496"/>
    <col width="9.42578125" customWidth="1" style="36" min="10497" max="10497"/>
    <col width="12.140625" customWidth="1" style="36" min="10498" max="10498"/>
    <col width="8.85546875" bestFit="1" customWidth="1" style="36" min="10499" max="10499"/>
    <col width="9.42578125" customWidth="1" style="36" min="10500" max="10500"/>
    <col width="11.5703125" customWidth="1" style="36" min="10501" max="10501"/>
    <col width="5.42578125" customWidth="1" style="36" min="10502" max="10502"/>
    <col width="9.42578125" customWidth="1" style="36" min="10503" max="10503"/>
    <col width="11.5703125" customWidth="1" style="36" min="10504" max="10504"/>
    <col width="5.42578125" customWidth="1" style="36" min="10505" max="10505"/>
    <col width="9.42578125" customWidth="1" style="36" min="10506" max="10506"/>
    <col width="11.5703125" customWidth="1" style="36" min="10507" max="10507"/>
    <col width="5.42578125" customWidth="1" style="36" min="10508" max="10508"/>
    <col width="9.42578125" customWidth="1" style="36" min="10509" max="10509"/>
    <col width="11.5703125" customWidth="1" style="36" min="10510" max="10510"/>
    <col width="5.42578125" customWidth="1" style="36" min="10511" max="10511"/>
    <col width="9.42578125" customWidth="1" style="36" min="10512" max="10512"/>
    <col width="11.5703125" customWidth="1" style="36" min="10513" max="10513"/>
    <col width="5.42578125" customWidth="1" style="36" min="10514" max="10514"/>
    <col width="9.42578125" customWidth="1" style="36" min="10515" max="10515"/>
    <col width="11.5703125" customWidth="1" style="36" min="10516" max="10516"/>
    <col width="5.42578125" customWidth="1" style="36" min="10517" max="10517"/>
    <col width="9.42578125" customWidth="1" style="36" min="10518" max="10518"/>
    <col width="11.5703125" customWidth="1" style="36" min="10519" max="10519"/>
    <col width="8.5703125" bestFit="1" customWidth="1" style="36" min="10520" max="10520"/>
    <col width="9.42578125" customWidth="1" style="36" min="10521" max="10521"/>
    <col width="11.5703125" customWidth="1" style="36" min="10522" max="10522"/>
    <col width="6.42578125" customWidth="1" style="36" min="10523" max="10523"/>
    <col width="9.140625" customWidth="1" style="36" min="10524" max="10751"/>
    <col width="6.140625" customWidth="1" style="36" min="10752" max="10752"/>
    <col width="9.42578125" customWidth="1" style="36" min="10753" max="10753"/>
    <col width="12.140625" customWidth="1" style="36" min="10754" max="10754"/>
    <col width="8.85546875" bestFit="1" customWidth="1" style="36" min="10755" max="10755"/>
    <col width="9.42578125" customWidth="1" style="36" min="10756" max="10756"/>
    <col width="11.5703125" customWidth="1" style="36" min="10757" max="10757"/>
    <col width="5.42578125" customWidth="1" style="36" min="10758" max="10758"/>
    <col width="9.42578125" customWidth="1" style="36" min="10759" max="10759"/>
    <col width="11.5703125" customWidth="1" style="36" min="10760" max="10760"/>
    <col width="5.42578125" customWidth="1" style="36" min="10761" max="10761"/>
    <col width="9.42578125" customWidth="1" style="36" min="10762" max="10762"/>
    <col width="11.5703125" customWidth="1" style="36" min="10763" max="10763"/>
    <col width="5.42578125" customWidth="1" style="36" min="10764" max="10764"/>
    <col width="9.42578125" customWidth="1" style="36" min="10765" max="10765"/>
    <col width="11.5703125" customWidth="1" style="36" min="10766" max="10766"/>
    <col width="5.42578125" customWidth="1" style="36" min="10767" max="10767"/>
    <col width="9.42578125" customWidth="1" style="36" min="10768" max="10768"/>
    <col width="11.5703125" customWidth="1" style="36" min="10769" max="10769"/>
    <col width="5.42578125" customWidth="1" style="36" min="10770" max="10770"/>
    <col width="9.42578125" customWidth="1" style="36" min="10771" max="10771"/>
    <col width="11.5703125" customWidth="1" style="36" min="10772" max="10772"/>
    <col width="5.42578125" customWidth="1" style="36" min="10773" max="10773"/>
    <col width="9.42578125" customWidth="1" style="36" min="10774" max="10774"/>
    <col width="11.5703125" customWidth="1" style="36" min="10775" max="10775"/>
    <col width="8.5703125" bestFit="1" customWidth="1" style="36" min="10776" max="10776"/>
    <col width="9.42578125" customWidth="1" style="36" min="10777" max="10777"/>
    <col width="11.5703125" customWidth="1" style="36" min="10778" max="10778"/>
    <col width="6.42578125" customWidth="1" style="36" min="10779" max="10779"/>
    <col width="9.140625" customWidth="1" style="36" min="10780" max="11007"/>
    <col width="6.140625" customWidth="1" style="36" min="11008" max="11008"/>
    <col width="9.42578125" customWidth="1" style="36" min="11009" max="11009"/>
    <col width="12.140625" customWidth="1" style="36" min="11010" max="11010"/>
    <col width="8.85546875" bestFit="1" customWidth="1" style="36" min="11011" max="11011"/>
    <col width="9.42578125" customWidth="1" style="36" min="11012" max="11012"/>
    <col width="11.5703125" customWidth="1" style="36" min="11013" max="11013"/>
    <col width="5.42578125" customWidth="1" style="36" min="11014" max="11014"/>
    <col width="9.42578125" customWidth="1" style="36" min="11015" max="11015"/>
    <col width="11.5703125" customWidth="1" style="36" min="11016" max="11016"/>
    <col width="5.42578125" customWidth="1" style="36" min="11017" max="11017"/>
    <col width="9.42578125" customWidth="1" style="36" min="11018" max="11018"/>
    <col width="11.5703125" customWidth="1" style="36" min="11019" max="11019"/>
    <col width="5.42578125" customWidth="1" style="36" min="11020" max="11020"/>
    <col width="9.42578125" customWidth="1" style="36" min="11021" max="11021"/>
    <col width="11.5703125" customWidth="1" style="36" min="11022" max="11022"/>
    <col width="5.42578125" customWidth="1" style="36" min="11023" max="11023"/>
    <col width="9.42578125" customWidth="1" style="36" min="11024" max="11024"/>
    <col width="11.5703125" customWidth="1" style="36" min="11025" max="11025"/>
    <col width="5.42578125" customWidth="1" style="36" min="11026" max="11026"/>
    <col width="9.42578125" customWidth="1" style="36" min="11027" max="11027"/>
    <col width="11.5703125" customWidth="1" style="36" min="11028" max="11028"/>
    <col width="5.42578125" customWidth="1" style="36" min="11029" max="11029"/>
    <col width="9.42578125" customWidth="1" style="36" min="11030" max="11030"/>
    <col width="11.5703125" customWidth="1" style="36" min="11031" max="11031"/>
    <col width="8.5703125" bestFit="1" customWidth="1" style="36" min="11032" max="11032"/>
    <col width="9.42578125" customWidth="1" style="36" min="11033" max="11033"/>
    <col width="11.5703125" customWidth="1" style="36" min="11034" max="11034"/>
    <col width="6.42578125" customWidth="1" style="36" min="11035" max="11035"/>
    <col width="9.140625" customWidth="1" style="36" min="11036" max="11263"/>
    <col width="6.140625" customWidth="1" style="36" min="11264" max="11264"/>
    <col width="9.42578125" customWidth="1" style="36" min="11265" max="11265"/>
    <col width="12.140625" customWidth="1" style="36" min="11266" max="11266"/>
    <col width="8.85546875" bestFit="1" customWidth="1" style="36" min="11267" max="11267"/>
    <col width="9.42578125" customWidth="1" style="36" min="11268" max="11268"/>
    <col width="11.5703125" customWidth="1" style="36" min="11269" max="11269"/>
    <col width="5.42578125" customWidth="1" style="36" min="11270" max="11270"/>
    <col width="9.42578125" customWidth="1" style="36" min="11271" max="11271"/>
    <col width="11.5703125" customWidth="1" style="36" min="11272" max="11272"/>
    <col width="5.42578125" customWidth="1" style="36" min="11273" max="11273"/>
    <col width="9.42578125" customWidth="1" style="36" min="11274" max="11274"/>
    <col width="11.5703125" customWidth="1" style="36" min="11275" max="11275"/>
    <col width="5.42578125" customWidth="1" style="36" min="11276" max="11276"/>
    <col width="9.42578125" customWidth="1" style="36" min="11277" max="11277"/>
    <col width="11.5703125" customWidth="1" style="36" min="11278" max="11278"/>
    <col width="5.42578125" customWidth="1" style="36" min="11279" max="11279"/>
    <col width="9.42578125" customWidth="1" style="36" min="11280" max="11280"/>
    <col width="11.5703125" customWidth="1" style="36" min="11281" max="11281"/>
    <col width="5.42578125" customWidth="1" style="36" min="11282" max="11282"/>
    <col width="9.42578125" customWidth="1" style="36" min="11283" max="11283"/>
    <col width="11.5703125" customWidth="1" style="36" min="11284" max="11284"/>
    <col width="5.42578125" customWidth="1" style="36" min="11285" max="11285"/>
    <col width="9.42578125" customWidth="1" style="36" min="11286" max="11286"/>
    <col width="11.5703125" customWidth="1" style="36" min="11287" max="11287"/>
    <col width="8.5703125" bestFit="1" customWidth="1" style="36" min="11288" max="11288"/>
    <col width="9.42578125" customWidth="1" style="36" min="11289" max="11289"/>
    <col width="11.5703125" customWidth="1" style="36" min="11290" max="11290"/>
    <col width="6.42578125" customWidth="1" style="36" min="11291" max="11291"/>
    <col width="9.140625" customWidth="1" style="36" min="11292" max="11519"/>
    <col width="6.140625" customWidth="1" style="36" min="11520" max="11520"/>
    <col width="9.42578125" customWidth="1" style="36" min="11521" max="11521"/>
    <col width="12.140625" customWidth="1" style="36" min="11522" max="11522"/>
    <col width="8.85546875" bestFit="1" customWidth="1" style="36" min="11523" max="11523"/>
    <col width="9.42578125" customWidth="1" style="36" min="11524" max="11524"/>
    <col width="11.5703125" customWidth="1" style="36" min="11525" max="11525"/>
    <col width="5.42578125" customWidth="1" style="36" min="11526" max="11526"/>
    <col width="9.42578125" customWidth="1" style="36" min="11527" max="11527"/>
    <col width="11.5703125" customWidth="1" style="36" min="11528" max="11528"/>
    <col width="5.42578125" customWidth="1" style="36" min="11529" max="11529"/>
    <col width="9.42578125" customWidth="1" style="36" min="11530" max="11530"/>
    <col width="11.5703125" customWidth="1" style="36" min="11531" max="11531"/>
    <col width="5.42578125" customWidth="1" style="36" min="11532" max="11532"/>
    <col width="9.42578125" customWidth="1" style="36" min="11533" max="11533"/>
    <col width="11.5703125" customWidth="1" style="36" min="11534" max="11534"/>
    <col width="5.42578125" customWidth="1" style="36" min="11535" max="11535"/>
    <col width="9.42578125" customWidth="1" style="36" min="11536" max="11536"/>
    <col width="11.5703125" customWidth="1" style="36" min="11537" max="11537"/>
    <col width="5.42578125" customWidth="1" style="36" min="11538" max="11538"/>
    <col width="9.42578125" customWidth="1" style="36" min="11539" max="11539"/>
    <col width="11.5703125" customWidth="1" style="36" min="11540" max="11540"/>
    <col width="5.42578125" customWidth="1" style="36" min="11541" max="11541"/>
    <col width="9.42578125" customWidth="1" style="36" min="11542" max="11542"/>
    <col width="11.5703125" customWidth="1" style="36" min="11543" max="11543"/>
    <col width="8.5703125" bestFit="1" customWidth="1" style="36" min="11544" max="11544"/>
    <col width="9.42578125" customWidth="1" style="36" min="11545" max="11545"/>
    <col width="11.5703125" customWidth="1" style="36" min="11546" max="11546"/>
    <col width="6.42578125" customWidth="1" style="36" min="11547" max="11547"/>
    <col width="9.140625" customWidth="1" style="36" min="11548" max="11775"/>
    <col width="6.140625" customWidth="1" style="36" min="11776" max="11776"/>
    <col width="9.42578125" customWidth="1" style="36" min="11777" max="11777"/>
    <col width="12.140625" customWidth="1" style="36" min="11778" max="11778"/>
    <col width="8.85546875" bestFit="1" customWidth="1" style="36" min="11779" max="11779"/>
    <col width="9.42578125" customWidth="1" style="36" min="11780" max="11780"/>
    <col width="11.5703125" customWidth="1" style="36" min="11781" max="11781"/>
    <col width="5.42578125" customWidth="1" style="36" min="11782" max="11782"/>
    <col width="9.42578125" customWidth="1" style="36" min="11783" max="11783"/>
    <col width="11.5703125" customWidth="1" style="36" min="11784" max="11784"/>
    <col width="5.42578125" customWidth="1" style="36" min="11785" max="11785"/>
    <col width="9.42578125" customWidth="1" style="36" min="11786" max="11786"/>
    <col width="11.5703125" customWidth="1" style="36" min="11787" max="11787"/>
    <col width="5.42578125" customWidth="1" style="36" min="11788" max="11788"/>
    <col width="9.42578125" customWidth="1" style="36" min="11789" max="11789"/>
    <col width="11.5703125" customWidth="1" style="36" min="11790" max="11790"/>
    <col width="5.42578125" customWidth="1" style="36" min="11791" max="11791"/>
    <col width="9.42578125" customWidth="1" style="36" min="11792" max="11792"/>
    <col width="11.5703125" customWidth="1" style="36" min="11793" max="11793"/>
    <col width="5.42578125" customWidth="1" style="36" min="11794" max="11794"/>
    <col width="9.42578125" customWidth="1" style="36" min="11795" max="11795"/>
    <col width="11.5703125" customWidth="1" style="36" min="11796" max="11796"/>
    <col width="5.42578125" customWidth="1" style="36" min="11797" max="11797"/>
    <col width="9.42578125" customWidth="1" style="36" min="11798" max="11798"/>
    <col width="11.5703125" customWidth="1" style="36" min="11799" max="11799"/>
    <col width="8.5703125" bestFit="1" customWidth="1" style="36" min="11800" max="11800"/>
    <col width="9.42578125" customWidth="1" style="36" min="11801" max="11801"/>
    <col width="11.5703125" customWidth="1" style="36" min="11802" max="11802"/>
    <col width="6.42578125" customWidth="1" style="36" min="11803" max="11803"/>
    <col width="9.140625" customWidth="1" style="36" min="11804" max="12031"/>
    <col width="6.140625" customWidth="1" style="36" min="12032" max="12032"/>
    <col width="9.42578125" customWidth="1" style="36" min="12033" max="12033"/>
    <col width="12.140625" customWidth="1" style="36" min="12034" max="12034"/>
    <col width="8.85546875" bestFit="1" customWidth="1" style="36" min="12035" max="12035"/>
    <col width="9.42578125" customWidth="1" style="36" min="12036" max="12036"/>
    <col width="11.5703125" customWidth="1" style="36" min="12037" max="12037"/>
    <col width="5.42578125" customWidth="1" style="36" min="12038" max="12038"/>
    <col width="9.42578125" customWidth="1" style="36" min="12039" max="12039"/>
    <col width="11.5703125" customWidth="1" style="36" min="12040" max="12040"/>
    <col width="5.42578125" customWidth="1" style="36" min="12041" max="12041"/>
    <col width="9.42578125" customWidth="1" style="36" min="12042" max="12042"/>
    <col width="11.5703125" customWidth="1" style="36" min="12043" max="12043"/>
    <col width="5.42578125" customWidth="1" style="36" min="12044" max="12044"/>
    <col width="9.42578125" customWidth="1" style="36" min="12045" max="12045"/>
    <col width="11.5703125" customWidth="1" style="36" min="12046" max="12046"/>
    <col width="5.42578125" customWidth="1" style="36" min="12047" max="12047"/>
    <col width="9.42578125" customWidth="1" style="36" min="12048" max="12048"/>
    <col width="11.5703125" customWidth="1" style="36" min="12049" max="12049"/>
    <col width="5.42578125" customWidth="1" style="36" min="12050" max="12050"/>
    <col width="9.42578125" customWidth="1" style="36" min="12051" max="12051"/>
    <col width="11.5703125" customWidth="1" style="36" min="12052" max="12052"/>
    <col width="5.42578125" customWidth="1" style="36" min="12053" max="12053"/>
    <col width="9.42578125" customWidth="1" style="36" min="12054" max="12054"/>
    <col width="11.5703125" customWidth="1" style="36" min="12055" max="12055"/>
    <col width="8.5703125" bestFit="1" customWidth="1" style="36" min="12056" max="12056"/>
    <col width="9.42578125" customWidth="1" style="36" min="12057" max="12057"/>
    <col width="11.5703125" customWidth="1" style="36" min="12058" max="12058"/>
    <col width="6.42578125" customWidth="1" style="36" min="12059" max="12059"/>
    <col width="9.140625" customWidth="1" style="36" min="12060" max="12287"/>
    <col width="6.140625" customWidth="1" style="36" min="12288" max="12288"/>
    <col width="9.42578125" customWidth="1" style="36" min="12289" max="12289"/>
    <col width="12.140625" customWidth="1" style="36" min="12290" max="12290"/>
    <col width="8.85546875" bestFit="1" customWidth="1" style="36" min="12291" max="12291"/>
    <col width="9.42578125" customWidth="1" style="36" min="12292" max="12292"/>
    <col width="11.5703125" customWidth="1" style="36" min="12293" max="12293"/>
    <col width="5.42578125" customWidth="1" style="36" min="12294" max="12294"/>
    <col width="9.42578125" customWidth="1" style="36" min="12295" max="12295"/>
    <col width="11.5703125" customWidth="1" style="36" min="12296" max="12296"/>
    <col width="5.42578125" customWidth="1" style="36" min="12297" max="12297"/>
    <col width="9.42578125" customWidth="1" style="36" min="12298" max="12298"/>
    <col width="11.5703125" customWidth="1" style="36" min="12299" max="12299"/>
    <col width="5.42578125" customWidth="1" style="36" min="12300" max="12300"/>
    <col width="9.42578125" customWidth="1" style="36" min="12301" max="12301"/>
    <col width="11.5703125" customWidth="1" style="36" min="12302" max="12302"/>
    <col width="5.42578125" customWidth="1" style="36" min="12303" max="12303"/>
    <col width="9.42578125" customWidth="1" style="36" min="12304" max="12304"/>
    <col width="11.5703125" customWidth="1" style="36" min="12305" max="12305"/>
    <col width="5.42578125" customWidth="1" style="36" min="12306" max="12306"/>
    <col width="9.42578125" customWidth="1" style="36" min="12307" max="12307"/>
    <col width="11.5703125" customWidth="1" style="36" min="12308" max="12308"/>
    <col width="5.42578125" customWidth="1" style="36" min="12309" max="12309"/>
    <col width="9.42578125" customWidth="1" style="36" min="12310" max="12310"/>
    <col width="11.5703125" customWidth="1" style="36" min="12311" max="12311"/>
    <col width="8.5703125" bestFit="1" customWidth="1" style="36" min="12312" max="12312"/>
    <col width="9.42578125" customWidth="1" style="36" min="12313" max="12313"/>
    <col width="11.5703125" customWidth="1" style="36" min="12314" max="12314"/>
    <col width="6.42578125" customWidth="1" style="36" min="12315" max="12315"/>
    <col width="9.140625" customWidth="1" style="36" min="12316" max="12543"/>
    <col width="6.140625" customWidth="1" style="36" min="12544" max="12544"/>
    <col width="9.42578125" customWidth="1" style="36" min="12545" max="12545"/>
    <col width="12.140625" customWidth="1" style="36" min="12546" max="12546"/>
    <col width="8.85546875" bestFit="1" customWidth="1" style="36" min="12547" max="12547"/>
    <col width="9.42578125" customWidth="1" style="36" min="12548" max="12548"/>
    <col width="11.5703125" customWidth="1" style="36" min="12549" max="12549"/>
    <col width="5.42578125" customWidth="1" style="36" min="12550" max="12550"/>
    <col width="9.42578125" customWidth="1" style="36" min="12551" max="12551"/>
    <col width="11.5703125" customWidth="1" style="36" min="12552" max="12552"/>
    <col width="5.42578125" customWidth="1" style="36" min="12553" max="12553"/>
    <col width="9.42578125" customWidth="1" style="36" min="12554" max="12554"/>
    <col width="11.5703125" customWidth="1" style="36" min="12555" max="12555"/>
    <col width="5.42578125" customWidth="1" style="36" min="12556" max="12556"/>
    <col width="9.42578125" customWidth="1" style="36" min="12557" max="12557"/>
    <col width="11.5703125" customWidth="1" style="36" min="12558" max="12558"/>
    <col width="5.42578125" customWidth="1" style="36" min="12559" max="12559"/>
    <col width="9.42578125" customWidth="1" style="36" min="12560" max="12560"/>
    <col width="11.5703125" customWidth="1" style="36" min="12561" max="12561"/>
    <col width="5.42578125" customWidth="1" style="36" min="12562" max="12562"/>
    <col width="9.42578125" customWidth="1" style="36" min="12563" max="12563"/>
    <col width="11.5703125" customWidth="1" style="36" min="12564" max="12564"/>
    <col width="5.42578125" customWidth="1" style="36" min="12565" max="12565"/>
    <col width="9.42578125" customWidth="1" style="36" min="12566" max="12566"/>
    <col width="11.5703125" customWidth="1" style="36" min="12567" max="12567"/>
    <col width="8.5703125" bestFit="1" customWidth="1" style="36" min="12568" max="12568"/>
    <col width="9.42578125" customWidth="1" style="36" min="12569" max="12569"/>
    <col width="11.5703125" customWidth="1" style="36" min="12570" max="12570"/>
    <col width="6.42578125" customWidth="1" style="36" min="12571" max="12571"/>
    <col width="9.140625" customWidth="1" style="36" min="12572" max="12799"/>
    <col width="6.140625" customWidth="1" style="36" min="12800" max="12800"/>
    <col width="9.42578125" customWidth="1" style="36" min="12801" max="12801"/>
    <col width="12.140625" customWidth="1" style="36" min="12802" max="12802"/>
    <col width="8.85546875" bestFit="1" customWidth="1" style="36" min="12803" max="12803"/>
    <col width="9.42578125" customWidth="1" style="36" min="12804" max="12804"/>
    <col width="11.5703125" customWidth="1" style="36" min="12805" max="12805"/>
    <col width="5.42578125" customWidth="1" style="36" min="12806" max="12806"/>
    <col width="9.42578125" customWidth="1" style="36" min="12807" max="12807"/>
    <col width="11.5703125" customWidth="1" style="36" min="12808" max="12808"/>
    <col width="5.42578125" customWidth="1" style="36" min="12809" max="12809"/>
    <col width="9.42578125" customWidth="1" style="36" min="12810" max="12810"/>
    <col width="11.5703125" customWidth="1" style="36" min="12811" max="12811"/>
    <col width="5.42578125" customWidth="1" style="36" min="12812" max="12812"/>
    <col width="9.42578125" customWidth="1" style="36" min="12813" max="12813"/>
    <col width="11.5703125" customWidth="1" style="36" min="12814" max="12814"/>
    <col width="5.42578125" customWidth="1" style="36" min="12815" max="12815"/>
    <col width="9.42578125" customWidth="1" style="36" min="12816" max="12816"/>
    <col width="11.5703125" customWidth="1" style="36" min="12817" max="12817"/>
    <col width="5.42578125" customWidth="1" style="36" min="12818" max="12818"/>
    <col width="9.42578125" customWidth="1" style="36" min="12819" max="12819"/>
    <col width="11.5703125" customWidth="1" style="36" min="12820" max="12820"/>
    <col width="5.42578125" customWidth="1" style="36" min="12821" max="12821"/>
    <col width="9.42578125" customWidth="1" style="36" min="12822" max="12822"/>
    <col width="11.5703125" customWidth="1" style="36" min="12823" max="12823"/>
    <col width="8.5703125" bestFit="1" customWidth="1" style="36" min="12824" max="12824"/>
    <col width="9.42578125" customWidth="1" style="36" min="12825" max="12825"/>
    <col width="11.5703125" customWidth="1" style="36" min="12826" max="12826"/>
    <col width="6.42578125" customWidth="1" style="36" min="12827" max="12827"/>
    <col width="9.140625" customWidth="1" style="36" min="12828" max="13055"/>
    <col width="6.140625" customWidth="1" style="36" min="13056" max="13056"/>
    <col width="9.42578125" customWidth="1" style="36" min="13057" max="13057"/>
    <col width="12.140625" customWidth="1" style="36" min="13058" max="13058"/>
    <col width="8.85546875" bestFit="1" customWidth="1" style="36" min="13059" max="13059"/>
    <col width="9.42578125" customWidth="1" style="36" min="13060" max="13060"/>
    <col width="11.5703125" customWidth="1" style="36" min="13061" max="13061"/>
    <col width="5.42578125" customWidth="1" style="36" min="13062" max="13062"/>
    <col width="9.42578125" customWidth="1" style="36" min="13063" max="13063"/>
    <col width="11.5703125" customWidth="1" style="36" min="13064" max="13064"/>
    <col width="5.42578125" customWidth="1" style="36" min="13065" max="13065"/>
    <col width="9.42578125" customWidth="1" style="36" min="13066" max="13066"/>
    <col width="11.5703125" customWidth="1" style="36" min="13067" max="13067"/>
    <col width="5.42578125" customWidth="1" style="36" min="13068" max="13068"/>
    <col width="9.42578125" customWidth="1" style="36" min="13069" max="13069"/>
    <col width="11.5703125" customWidth="1" style="36" min="13070" max="13070"/>
    <col width="5.42578125" customWidth="1" style="36" min="13071" max="13071"/>
    <col width="9.42578125" customWidth="1" style="36" min="13072" max="13072"/>
    <col width="11.5703125" customWidth="1" style="36" min="13073" max="13073"/>
    <col width="5.42578125" customWidth="1" style="36" min="13074" max="13074"/>
    <col width="9.42578125" customWidth="1" style="36" min="13075" max="13075"/>
    <col width="11.5703125" customWidth="1" style="36" min="13076" max="13076"/>
    <col width="5.42578125" customWidth="1" style="36" min="13077" max="13077"/>
    <col width="9.42578125" customWidth="1" style="36" min="13078" max="13078"/>
    <col width="11.5703125" customWidth="1" style="36" min="13079" max="13079"/>
    <col width="8.5703125" bestFit="1" customWidth="1" style="36" min="13080" max="13080"/>
    <col width="9.42578125" customWidth="1" style="36" min="13081" max="13081"/>
    <col width="11.5703125" customWidth="1" style="36" min="13082" max="13082"/>
    <col width="6.42578125" customWidth="1" style="36" min="13083" max="13083"/>
    <col width="9.140625" customWidth="1" style="36" min="13084" max="13311"/>
    <col width="6.140625" customWidth="1" style="36" min="13312" max="13312"/>
    <col width="9.42578125" customWidth="1" style="36" min="13313" max="13313"/>
    <col width="12.140625" customWidth="1" style="36" min="13314" max="13314"/>
    <col width="8.85546875" bestFit="1" customWidth="1" style="36" min="13315" max="13315"/>
    <col width="9.42578125" customWidth="1" style="36" min="13316" max="13316"/>
    <col width="11.5703125" customWidth="1" style="36" min="13317" max="13317"/>
    <col width="5.42578125" customWidth="1" style="36" min="13318" max="13318"/>
    <col width="9.42578125" customWidth="1" style="36" min="13319" max="13319"/>
    <col width="11.5703125" customWidth="1" style="36" min="13320" max="13320"/>
    <col width="5.42578125" customWidth="1" style="36" min="13321" max="13321"/>
    <col width="9.42578125" customWidth="1" style="36" min="13322" max="13322"/>
    <col width="11.5703125" customWidth="1" style="36" min="13323" max="13323"/>
    <col width="5.42578125" customWidth="1" style="36" min="13324" max="13324"/>
    <col width="9.42578125" customWidth="1" style="36" min="13325" max="13325"/>
    <col width="11.5703125" customWidth="1" style="36" min="13326" max="13326"/>
    <col width="5.42578125" customWidth="1" style="36" min="13327" max="13327"/>
    <col width="9.42578125" customWidth="1" style="36" min="13328" max="13328"/>
    <col width="11.5703125" customWidth="1" style="36" min="13329" max="13329"/>
    <col width="5.42578125" customWidth="1" style="36" min="13330" max="13330"/>
    <col width="9.42578125" customWidth="1" style="36" min="13331" max="13331"/>
    <col width="11.5703125" customWidth="1" style="36" min="13332" max="13332"/>
    <col width="5.42578125" customWidth="1" style="36" min="13333" max="13333"/>
    <col width="9.42578125" customWidth="1" style="36" min="13334" max="13334"/>
    <col width="11.5703125" customWidth="1" style="36" min="13335" max="13335"/>
    <col width="8.5703125" bestFit="1" customWidth="1" style="36" min="13336" max="13336"/>
    <col width="9.42578125" customWidth="1" style="36" min="13337" max="13337"/>
    <col width="11.5703125" customWidth="1" style="36" min="13338" max="13338"/>
    <col width="6.42578125" customWidth="1" style="36" min="13339" max="13339"/>
    <col width="9.140625" customWidth="1" style="36" min="13340" max="13567"/>
    <col width="6.140625" customWidth="1" style="36" min="13568" max="13568"/>
    <col width="9.42578125" customWidth="1" style="36" min="13569" max="13569"/>
    <col width="12.140625" customWidth="1" style="36" min="13570" max="13570"/>
    <col width="8.85546875" bestFit="1" customWidth="1" style="36" min="13571" max="13571"/>
    <col width="9.42578125" customWidth="1" style="36" min="13572" max="13572"/>
    <col width="11.5703125" customWidth="1" style="36" min="13573" max="13573"/>
    <col width="5.42578125" customWidth="1" style="36" min="13574" max="13574"/>
    <col width="9.42578125" customWidth="1" style="36" min="13575" max="13575"/>
    <col width="11.5703125" customWidth="1" style="36" min="13576" max="13576"/>
    <col width="5.42578125" customWidth="1" style="36" min="13577" max="13577"/>
    <col width="9.42578125" customWidth="1" style="36" min="13578" max="13578"/>
    <col width="11.5703125" customWidth="1" style="36" min="13579" max="13579"/>
    <col width="5.42578125" customWidth="1" style="36" min="13580" max="13580"/>
    <col width="9.42578125" customWidth="1" style="36" min="13581" max="13581"/>
    <col width="11.5703125" customWidth="1" style="36" min="13582" max="13582"/>
    <col width="5.42578125" customWidth="1" style="36" min="13583" max="13583"/>
    <col width="9.42578125" customWidth="1" style="36" min="13584" max="13584"/>
    <col width="11.5703125" customWidth="1" style="36" min="13585" max="13585"/>
    <col width="5.42578125" customWidth="1" style="36" min="13586" max="13586"/>
    <col width="9.42578125" customWidth="1" style="36" min="13587" max="13587"/>
    <col width="11.5703125" customWidth="1" style="36" min="13588" max="13588"/>
    <col width="5.42578125" customWidth="1" style="36" min="13589" max="13589"/>
    <col width="9.42578125" customWidth="1" style="36" min="13590" max="13590"/>
    <col width="11.5703125" customWidth="1" style="36" min="13591" max="13591"/>
    <col width="8.5703125" bestFit="1" customWidth="1" style="36" min="13592" max="13592"/>
    <col width="9.42578125" customWidth="1" style="36" min="13593" max="13593"/>
    <col width="11.5703125" customWidth="1" style="36" min="13594" max="13594"/>
    <col width="6.42578125" customWidth="1" style="36" min="13595" max="13595"/>
    <col width="9.140625" customWidth="1" style="36" min="13596" max="13823"/>
    <col width="6.140625" customWidth="1" style="36" min="13824" max="13824"/>
    <col width="9.42578125" customWidth="1" style="36" min="13825" max="13825"/>
    <col width="12.140625" customWidth="1" style="36" min="13826" max="13826"/>
    <col width="8.85546875" bestFit="1" customWidth="1" style="36" min="13827" max="13827"/>
    <col width="9.42578125" customWidth="1" style="36" min="13828" max="13828"/>
    <col width="11.5703125" customWidth="1" style="36" min="13829" max="13829"/>
    <col width="5.42578125" customWidth="1" style="36" min="13830" max="13830"/>
    <col width="9.42578125" customWidth="1" style="36" min="13831" max="13831"/>
    <col width="11.5703125" customWidth="1" style="36" min="13832" max="13832"/>
    <col width="5.42578125" customWidth="1" style="36" min="13833" max="13833"/>
    <col width="9.42578125" customWidth="1" style="36" min="13834" max="13834"/>
    <col width="11.5703125" customWidth="1" style="36" min="13835" max="13835"/>
    <col width="5.42578125" customWidth="1" style="36" min="13836" max="13836"/>
    <col width="9.42578125" customWidth="1" style="36" min="13837" max="13837"/>
    <col width="11.5703125" customWidth="1" style="36" min="13838" max="13838"/>
    <col width="5.42578125" customWidth="1" style="36" min="13839" max="13839"/>
    <col width="9.42578125" customWidth="1" style="36" min="13840" max="13840"/>
    <col width="11.5703125" customWidth="1" style="36" min="13841" max="13841"/>
    <col width="5.42578125" customWidth="1" style="36" min="13842" max="13842"/>
    <col width="9.42578125" customWidth="1" style="36" min="13843" max="13843"/>
    <col width="11.5703125" customWidth="1" style="36" min="13844" max="13844"/>
    <col width="5.42578125" customWidth="1" style="36" min="13845" max="13845"/>
    <col width="9.42578125" customWidth="1" style="36" min="13846" max="13846"/>
    <col width="11.5703125" customWidth="1" style="36" min="13847" max="13847"/>
    <col width="8.5703125" bestFit="1" customWidth="1" style="36" min="13848" max="13848"/>
    <col width="9.42578125" customWidth="1" style="36" min="13849" max="13849"/>
    <col width="11.5703125" customWidth="1" style="36" min="13850" max="13850"/>
    <col width="6.42578125" customWidth="1" style="36" min="13851" max="13851"/>
    <col width="9.140625" customWidth="1" style="36" min="13852" max="14079"/>
    <col width="6.140625" customWidth="1" style="36" min="14080" max="14080"/>
    <col width="9.42578125" customWidth="1" style="36" min="14081" max="14081"/>
    <col width="12.140625" customWidth="1" style="36" min="14082" max="14082"/>
    <col width="8.85546875" bestFit="1" customWidth="1" style="36" min="14083" max="14083"/>
    <col width="9.42578125" customWidth="1" style="36" min="14084" max="14084"/>
    <col width="11.5703125" customWidth="1" style="36" min="14085" max="14085"/>
    <col width="5.42578125" customWidth="1" style="36" min="14086" max="14086"/>
    <col width="9.42578125" customWidth="1" style="36" min="14087" max="14087"/>
    <col width="11.5703125" customWidth="1" style="36" min="14088" max="14088"/>
    <col width="5.42578125" customWidth="1" style="36" min="14089" max="14089"/>
    <col width="9.42578125" customWidth="1" style="36" min="14090" max="14090"/>
    <col width="11.5703125" customWidth="1" style="36" min="14091" max="14091"/>
    <col width="5.42578125" customWidth="1" style="36" min="14092" max="14092"/>
    <col width="9.42578125" customWidth="1" style="36" min="14093" max="14093"/>
    <col width="11.5703125" customWidth="1" style="36" min="14094" max="14094"/>
    <col width="5.42578125" customWidth="1" style="36" min="14095" max="14095"/>
    <col width="9.42578125" customWidth="1" style="36" min="14096" max="14096"/>
    <col width="11.5703125" customWidth="1" style="36" min="14097" max="14097"/>
    <col width="5.42578125" customWidth="1" style="36" min="14098" max="14098"/>
    <col width="9.42578125" customWidth="1" style="36" min="14099" max="14099"/>
    <col width="11.5703125" customWidth="1" style="36" min="14100" max="14100"/>
    <col width="5.42578125" customWidth="1" style="36" min="14101" max="14101"/>
    <col width="9.42578125" customWidth="1" style="36" min="14102" max="14102"/>
    <col width="11.5703125" customWidth="1" style="36" min="14103" max="14103"/>
    <col width="8.5703125" bestFit="1" customWidth="1" style="36" min="14104" max="14104"/>
    <col width="9.42578125" customWidth="1" style="36" min="14105" max="14105"/>
    <col width="11.5703125" customWidth="1" style="36" min="14106" max="14106"/>
    <col width="6.42578125" customWidth="1" style="36" min="14107" max="14107"/>
    <col width="9.140625" customWidth="1" style="36" min="14108" max="14335"/>
    <col width="6.140625" customWidth="1" style="36" min="14336" max="14336"/>
    <col width="9.42578125" customWidth="1" style="36" min="14337" max="14337"/>
    <col width="12.140625" customWidth="1" style="36" min="14338" max="14338"/>
    <col width="8.85546875" bestFit="1" customWidth="1" style="36" min="14339" max="14339"/>
    <col width="9.42578125" customWidth="1" style="36" min="14340" max="14340"/>
    <col width="11.5703125" customWidth="1" style="36" min="14341" max="14341"/>
    <col width="5.42578125" customWidth="1" style="36" min="14342" max="14342"/>
    <col width="9.42578125" customWidth="1" style="36" min="14343" max="14343"/>
    <col width="11.5703125" customWidth="1" style="36" min="14344" max="14344"/>
    <col width="5.42578125" customWidth="1" style="36" min="14345" max="14345"/>
    <col width="9.42578125" customWidth="1" style="36" min="14346" max="14346"/>
    <col width="11.5703125" customWidth="1" style="36" min="14347" max="14347"/>
    <col width="5.42578125" customWidth="1" style="36" min="14348" max="14348"/>
    <col width="9.42578125" customWidth="1" style="36" min="14349" max="14349"/>
    <col width="11.5703125" customWidth="1" style="36" min="14350" max="14350"/>
    <col width="5.42578125" customWidth="1" style="36" min="14351" max="14351"/>
    <col width="9.42578125" customWidth="1" style="36" min="14352" max="14352"/>
    <col width="11.5703125" customWidth="1" style="36" min="14353" max="14353"/>
    <col width="5.42578125" customWidth="1" style="36" min="14354" max="14354"/>
    <col width="9.42578125" customWidth="1" style="36" min="14355" max="14355"/>
    <col width="11.5703125" customWidth="1" style="36" min="14356" max="14356"/>
    <col width="5.42578125" customWidth="1" style="36" min="14357" max="14357"/>
    <col width="9.42578125" customWidth="1" style="36" min="14358" max="14358"/>
    <col width="11.5703125" customWidth="1" style="36" min="14359" max="14359"/>
    <col width="8.5703125" bestFit="1" customWidth="1" style="36" min="14360" max="14360"/>
    <col width="9.42578125" customWidth="1" style="36" min="14361" max="14361"/>
    <col width="11.5703125" customWidth="1" style="36" min="14362" max="14362"/>
    <col width="6.42578125" customWidth="1" style="36" min="14363" max="14363"/>
    <col width="9.140625" customWidth="1" style="36" min="14364" max="14591"/>
    <col width="6.140625" customWidth="1" style="36" min="14592" max="14592"/>
    <col width="9.42578125" customWidth="1" style="36" min="14593" max="14593"/>
    <col width="12.140625" customWidth="1" style="36" min="14594" max="14594"/>
    <col width="8.85546875" bestFit="1" customWidth="1" style="36" min="14595" max="14595"/>
    <col width="9.42578125" customWidth="1" style="36" min="14596" max="14596"/>
    <col width="11.5703125" customWidth="1" style="36" min="14597" max="14597"/>
    <col width="5.42578125" customWidth="1" style="36" min="14598" max="14598"/>
    <col width="9.42578125" customWidth="1" style="36" min="14599" max="14599"/>
    <col width="11.5703125" customWidth="1" style="36" min="14600" max="14600"/>
    <col width="5.42578125" customWidth="1" style="36" min="14601" max="14601"/>
    <col width="9.42578125" customWidth="1" style="36" min="14602" max="14602"/>
    <col width="11.5703125" customWidth="1" style="36" min="14603" max="14603"/>
    <col width="5.42578125" customWidth="1" style="36" min="14604" max="14604"/>
    <col width="9.42578125" customWidth="1" style="36" min="14605" max="14605"/>
    <col width="11.5703125" customWidth="1" style="36" min="14606" max="14606"/>
    <col width="5.42578125" customWidth="1" style="36" min="14607" max="14607"/>
    <col width="9.42578125" customWidth="1" style="36" min="14608" max="14608"/>
    <col width="11.5703125" customWidth="1" style="36" min="14609" max="14609"/>
    <col width="5.42578125" customWidth="1" style="36" min="14610" max="14610"/>
    <col width="9.42578125" customWidth="1" style="36" min="14611" max="14611"/>
    <col width="11.5703125" customWidth="1" style="36" min="14612" max="14612"/>
    <col width="5.42578125" customWidth="1" style="36" min="14613" max="14613"/>
    <col width="9.42578125" customWidth="1" style="36" min="14614" max="14614"/>
    <col width="11.5703125" customWidth="1" style="36" min="14615" max="14615"/>
    <col width="8.5703125" bestFit="1" customWidth="1" style="36" min="14616" max="14616"/>
    <col width="9.42578125" customWidth="1" style="36" min="14617" max="14617"/>
    <col width="11.5703125" customWidth="1" style="36" min="14618" max="14618"/>
    <col width="6.42578125" customWidth="1" style="36" min="14619" max="14619"/>
    <col width="9.140625" customWidth="1" style="36" min="14620" max="14847"/>
    <col width="6.140625" customWidth="1" style="36" min="14848" max="14848"/>
    <col width="9.42578125" customWidth="1" style="36" min="14849" max="14849"/>
    <col width="12.140625" customWidth="1" style="36" min="14850" max="14850"/>
    <col width="8.85546875" bestFit="1" customWidth="1" style="36" min="14851" max="14851"/>
    <col width="9.42578125" customWidth="1" style="36" min="14852" max="14852"/>
    <col width="11.5703125" customWidth="1" style="36" min="14853" max="14853"/>
    <col width="5.42578125" customWidth="1" style="36" min="14854" max="14854"/>
    <col width="9.42578125" customWidth="1" style="36" min="14855" max="14855"/>
    <col width="11.5703125" customWidth="1" style="36" min="14856" max="14856"/>
    <col width="5.42578125" customWidth="1" style="36" min="14857" max="14857"/>
    <col width="9.42578125" customWidth="1" style="36" min="14858" max="14858"/>
    <col width="11.5703125" customWidth="1" style="36" min="14859" max="14859"/>
    <col width="5.42578125" customWidth="1" style="36" min="14860" max="14860"/>
    <col width="9.42578125" customWidth="1" style="36" min="14861" max="14861"/>
    <col width="11.5703125" customWidth="1" style="36" min="14862" max="14862"/>
    <col width="5.42578125" customWidth="1" style="36" min="14863" max="14863"/>
    <col width="9.42578125" customWidth="1" style="36" min="14864" max="14864"/>
    <col width="11.5703125" customWidth="1" style="36" min="14865" max="14865"/>
    <col width="5.42578125" customWidth="1" style="36" min="14866" max="14866"/>
    <col width="9.42578125" customWidth="1" style="36" min="14867" max="14867"/>
    <col width="11.5703125" customWidth="1" style="36" min="14868" max="14868"/>
    <col width="5.42578125" customWidth="1" style="36" min="14869" max="14869"/>
    <col width="9.42578125" customWidth="1" style="36" min="14870" max="14870"/>
    <col width="11.5703125" customWidth="1" style="36" min="14871" max="14871"/>
    <col width="8.5703125" bestFit="1" customWidth="1" style="36" min="14872" max="14872"/>
    <col width="9.42578125" customWidth="1" style="36" min="14873" max="14873"/>
    <col width="11.5703125" customWidth="1" style="36" min="14874" max="14874"/>
    <col width="6.42578125" customWidth="1" style="36" min="14875" max="14875"/>
    <col width="9.140625" customWidth="1" style="36" min="14876" max="15103"/>
    <col width="6.140625" customWidth="1" style="36" min="15104" max="15104"/>
    <col width="9.42578125" customWidth="1" style="36" min="15105" max="15105"/>
    <col width="12.140625" customWidth="1" style="36" min="15106" max="15106"/>
    <col width="8.85546875" bestFit="1" customWidth="1" style="36" min="15107" max="15107"/>
    <col width="9.42578125" customWidth="1" style="36" min="15108" max="15108"/>
    <col width="11.5703125" customWidth="1" style="36" min="15109" max="15109"/>
    <col width="5.42578125" customWidth="1" style="36" min="15110" max="15110"/>
    <col width="9.42578125" customWidth="1" style="36" min="15111" max="15111"/>
    <col width="11.5703125" customWidth="1" style="36" min="15112" max="15112"/>
    <col width="5.42578125" customWidth="1" style="36" min="15113" max="15113"/>
    <col width="9.42578125" customWidth="1" style="36" min="15114" max="15114"/>
    <col width="11.5703125" customWidth="1" style="36" min="15115" max="15115"/>
    <col width="5.42578125" customWidth="1" style="36" min="15116" max="15116"/>
    <col width="9.42578125" customWidth="1" style="36" min="15117" max="15117"/>
    <col width="11.5703125" customWidth="1" style="36" min="15118" max="15118"/>
    <col width="5.42578125" customWidth="1" style="36" min="15119" max="15119"/>
    <col width="9.42578125" customWidth="1" style="36" min="15120" max="15120"/>
    <col width="11.5703125" customWidth="1" style="36" min="15121" max="15121"/>
    <col width="5.42578125" customWidth="1" style="36" min="15122" max="15122"/>
    <col width="9.42578125" customWidth="1" style="36" min="15123" max="15123"/>
    <col width="11.5703125" customWidth="1" style="36" min="15124" max="15124"/>
    <col width="5.42578125" customWidth="1" style="36" min="15125" max="15125"/>
    <col width="9.42578125" customWidth="1" style="36" min="15126" max="15126"/>
    <col width="11.5703125" customWidth="1" style="36" min="15127" max="15127"/>
    <col width="8.5703125" bestFit="1" customWidth="1" style="36" min="15128" max="15128"/>
    <col width="9.42578125" customWidth="1" style="36" min="15129" max="15129"/>
    <col width="11.5703125" customWidth="1" style="36" min="15130" max="15130"/>
    <col width="6.42578125" customWidth="1" style="36" min="15131" max="15131"/>
    <col width="9.140625" customWidth="1" style="36" min="15132" max="15359"/>
    <col width="6.140625" customWidth="1" style="36" min="15360" max="15360"/>
    <col width="9.42578125" customWidth="1" style="36" min="15361" max="15361"/>
    <col width="12.140625" customWidth="1" style="36" min="15362" max="15362"/>
    <col width="8.85546875" bestFit="1" customWidth="1" style="36" min="15363" max="15363"/>
    <col width="9.42578125" customWidth="1" style="36" min="15364" max="15364"/>
    <col width="11.5703125" customWidth="1" style="36" min="15365" max="15365"/>
    <col width="5.42578125" customWidth="1" style="36" min="15366" max="15366"/>
    <col width="9.42578125" customWidth="1" style="36" min="15367" max="15367"/>
    <col width="11.5703125" customWidth="1" style="36" min="15368" max="15368"/>
    <col width="5.42578125" customWidth="1" style="36" min="15369" max="15369"/>
    <col width="9.42578125" customWidth="1" style="36" min="15370" max="15370"/>
    <col width="11.5703125" customWidth="1" style="36" min="15371" max="15371"/>
    <col width="5.42578125" customWidth="1" style="36" min="15372" max="15372"/>
    <col width="9.42578125" customWidth="1" style="36" min="15373" max="15373"/>
    <col width="11.5703125" customWidth="1" style="36" min="15374" max="15374"/>
    <col width="5.42578125" customWidth="1" style="36" min="15375" max="15375"/>
    <col width="9.42578125" customWidth="1" style="36" min="15376" max="15376"/>
    <col width="11.5703125" customWidth="1" style="36" min="15377" max="15377"/>
    <col width="5.42578125" customWidth="1" style="36" min="15378" max="15378"/>
    <col width="9.42578125" customWidth="1" style="36" min="15379" max="15379"/>
    <col width="11.5703125" customWidth="1" style="36" min="15380" max="15380"/>
    <col width="5.42578125" customWidth="1" style="36" min="15381" max="15381"/>
    <col width="9.42578125" customWidth="1" style="36" min="15382" max="15382"/>
    <col width="11.5703125" customWidth="1" style="36" min="15383" max="15383"/>
    <col width="8.5703125" bestFit="1" customWidth="1" style="36" min="15384" max="15384"/>
    <col width="9.42578125" customWidth="1" style="36" min="15385" max="15385"/>
    <col width="11.5703125" customWidth="1" style="36" min="15386" max="15386"/>
    <col width="6.42578125" customWidth="1" style="36" min="15387" max="15387"/>
    <col width="9.140625" customWidth="1" style="36" min="15388" max="15615"/>
    <col width="6.140625" customWidth="1" style="36" min="15616" max="15616"/>
    <col width="9.42578125" customWidth="1" style="36" min="15617" max="15617"/>
    <col width="12.140625" customWidth="1" style="36" min="15618" max="15618"/>
    <col width="8.85546875" bestFit="1" customWidth="1" style="36" min="15619" max="15619"/>
    <col width="9.42578125" customWidth="1" style="36" min="15620" max="15620"/>
    <col width="11.5703125" customWidth="1" style="36" min="15621" max="15621"/>
    <col width="5.42578125" customWidth="1" style="36" min="15622" max="15622"/>
    <col width="9.42578125" customWidth="1" style="36" min="15623" max="15623"/>
    <col width="11.5703125" customWidth="1" style="36" min="15624" max="15624"/>
    <col width="5.42578125" customWidth="1" style="36" min="15625" max="15625"/>
    <col width="9.42578125" customWidth="1" style="36" min="15626" max="15626"/>
    <col width="11.5703125" customWidth="1" style="36" min="15627" max="15627"/>
    <col width="5.42578125" customWidth="1" style="36" min="15628" max="15628"/>
    <col width="9.42578125" customWidth="1" style="36" min="15629" max="15629"/>
    <col width="11.5703125" customWidth="1" style="36" min="15630" max="15630"/>
    <col width="5.42578125" customWidth="1" style="36" min="15631" max="15631"/>
    <col width="9.42578125" customWidth="1" style="36" min="15632" max="15632"/>
    <col width="11.5703125" customWidth="1" style="36" min="15633" max="15633"/>
    <col width="5.42578125" customWidth="1" style="36" min="15634" max="15634"/>
    <col width="9.42578125" customWidth="1" style="36" min="15635" max="15635"/>
    <col width="11.5703125" customWidth="1" style="36" min="15636" max="15636"/>
    <col width="5.42578125" customWidth="1" style="36" min="15637" max="15637"/>
    <col width="9.42578125" customWidth="1" style="36" min="15638" max="15638"/>
    <col width="11.5703125" customWidth="1" style="36" min="15639" max="15639"/>
    <col width="8.5703125" bestFit="1" customWidth="1" style="36" min="15640" max="15640"/>
    <col width="9.42578125" customWidth="1" style="36" min="15641" max="15641"/>
    <col width="11.5703125" customWidth="1" style="36" min="15642" max="15642"/>
    <col width="6.42578125" customWidth="1" style="36" min="15643" max="15643"/>
    <col width="9.140625" customWidth="1" style="36" min="15644" max="15871"/>
    <col width="6.140625" customWidth="1" style="36" min="15872" max="15872"/>
    <col width="9.42578125" customWidth="1" style="36" min="15873" max="15873"/>
    <col width="12.140625" customWidth="1" style="36" min="15874" max="15874"/>
    <col width="8.85546875" bestFit="1" customWidth="1" style="36" min="15875" max="15875"/>
    <col width="9.42578125" customWidth="1" style="36" min="15876" max="15876"/>
    <col width="11.5703125" customWidth="1" style="36" min="15877" max="15877"/>
    <col width="5.42578125" customWidth="1" style="36" min="15878" max="15878"/>
    <col width="9.42578125" customWidth="1" style="36" min="15879" max="15879"/>
    <col width="11.5703125" customWidth="1" style="36" min="15880" max="15880"/>
    <col width="5.42578125" customWidth="1" style="36" min="15881" max="15881"/>
    <col width="9.42578125" customWidth="1" style="36" min="15882" max="15882"/>
    <col width="11.5703125" customWidth="1" style="36" min="15883" max="15883"/>
    <col width="5.42578125" customWidth="1" style="36" min="15884" max="15884"/>
    <col width="9.42578125" customWidth="1" style="36" min="15885" max="15885"/>
    <col width="11.5703125" customWidth="1" style="36" min="15886" max="15886"/>
    <col width="5.42578125" customWidth="1" style="36" min="15887" max="15887"/>
    <col width="9.42578125" customWidth="1" style="36" min="15888" max="15888"/>
    <col width="11.5703125" customWidth="1" style="36" min="15889" max="15889"/>
    <col width="5.42578125" customWidth="1" style="36" min="15890" max="15890"/>
    <col width="9.42578125" customWidth="1" style="36" min="15891" max="15891"/>
    <col width="11.5703125" customWidth="1" style="36" min="15892" max="15892"/>
    <col width="5.42578125" customWidth="1" style="36" min="15893" max="15893"/>
    <col width="9.42578125" customWidth="1" style="36" min="15894" max="15894"/>
    <col width="11.5703125" customWidth="1" style="36" min="15895" max="15895"/>
    <col width="8.5703125" bestFit="1" customWidth="1" style="36" min="15896" max="15896"/>
    <col width="9.42578125" customWidth="1" style="36" min="15897" max="15897"/>
    <col width="11.5703125" customWidth="1" style="36" min="15898" max="15898"/>
    <col width="6.42578125" customWidth="1" style="36" min="15899" max="15899"/>
    <col width="9.140625" customWidth="1" style="36" min="15900" max="16127"/>
    <col width="6.140625" customWidth="1" style="36" min="16128" max="16128"/>
    <col width="9.42578125" customWidth="1" style="36" min="16129" max="16129"/>
    <col width="12.140625" customWidth="1" style="36" min="16130" max="16130"/>
    <col width="8.85546875" bestFit="1" customWidth="1" style="36" min="16131" max="16131"/>
    <col width="9.42578125" customWidth="1" style="36" min="16132" max="16132"/>
    <col width="11.5703125" customWidth="1" style="36" min="16133" max="16133"/>
    <col width="5.42578125" customWidth="1" style="36" min="16134" max="16134"/>
    <col width="9.42578125" customWidth="1" style="36" min="16135" max="16135"/>
    <col width="11.5703125" customWidth="1" style="36" min="16136" max="16136"/>
    <col width="5.42578125" customWidth="1" style="36" min="16137" max="16137"/>
    <col width="9.42578125" customWidth="1" style="36" min="16138" max="16138"/>
    <col width="11.5703125" customWidth="1" style="36" min="16139" max="16139"/>
    <col width="5.42578125" customWidth="1" style="36" min="16140" max="16140"/>
    <col width="9.42578125" customWidth="1" style="36" min="16141" max="16141"/>
    <col width="11.5703125" customWidth="1" style="36" min="16142" max="16142"/>
    <col width="5.42578125" customWidth="1" style="36" min="16143" max="16143"/>
    <col width="9.42578125" customWidth="1" style="36" min="16144" max="16144"/>
    <col width="11.5703125" customWidth="1" style="36" min="16145" max="16145"/>
    <col width="5.42578125" customWidth="1" style="36" min="16146" max="16146"/>
    <col width="9.42578125" customWidth="1" style="36" min="16147" max="16147"/>
    <col width="11.5703125" customWidth="1" style="36" min="16148" max="16148"/>
    <col width="5.42578125" customWidth="1" style="36" min="16149" max="16149"/>
    <col width="9.42578125" customWidth="1" style="36" min="16150" max="16150"/>
    <col width="11.5703125" customWidth="1" style="36" min="16151" max="16151"/>
    <col width="8.5703125" bestFit="1" customWidth="1" style="36" min="16152" max="16152"/>
    <col width="9.42578125" customWidth="1" style="36" min="16153" max="16153"/>
    <col width="11.5703125" customWidth="1" style="36" min="16154" max="16154"/>
    <col width="6.42578125" customWidth="1" style="36" min="16155" max="16155"/>
    <col width="9.140625" customWidth="1" style="36" min="16156" max="16384"/>
  </cols>
  <sheetData>
    <row r="1" ht="15" customFormat="1" customHeight="1" s="8">
      <c r="A1" s="195" t="n"/>
    </row>
    <row r="2" ht="15" customFormat="1" customHeight="1" s="8"/>
    <row r="3" ht="15" customFormat="1" customHeight="1" s="8"/>
    <row r="4" ht="15" customFormat="1" customHeight="1" s="8" thickBot="1"/>
    <row r="5" ht="19.5" customFormat="1" customHeight="1" s="10">
      <c r="A5" s="197" t="n"/>
      <c r="B5" s="52" t="inlineStr">
        <is>
          <t>NO 1 INCOMMING</t>
        </is>
      </c>
      <c r="C5" s="227" t="n"/>
      <c r="D5" s="227" t="n"/>
      <c r="E5" s="89" t="n"/>
      <c r="F5" s="228" t="inlineStr">
        <is>
          <t>몰오브광양</t>
        </is>
      </c>
      <c r="G5" s="229" t="n"/>
      <c r="H5" s="52" t="inlineStr">
        <is>
          <t>18 S/S</t>
        </is>
      </c>
      <c r="I5" s="227" t="n"/>
      <c r="J5" s="227" t="n"/>
      <c r="K5" s="52" t="inlineStr">
        <is>
          <t>12,16 S/S</t>
        </is>
      </c>
      <c r="L5" s="227" t="n"/>
      <c r="M5" s="230" t="n"/>
      <c r="N5" s="52" t="inlineStr">
        <is>
          <t>6 S/S</t>
        </is>
      </c>
      <c r="O5" s="227" t="n"/>
      <c r="P5" s="230" t="n"/>
      <c r="Q5" s="52" t="inlineStr">
        <is>
          <t>제철남초등학교</t>
        </is>
      </c>
      <c r="R5" s="227" t="n"/>
      <c r="S5" s="230" t="n"/>
      <c r="T5" s="52" t="inlineStr">
        <is>
          <t xml:space="preserve">동백.소내 </t>
        </is>
      </c>
      <c r="U5" s="227" t="n"/>
      <c r="V5" s="230" t="n"/>
      <c r="W5" s="55" t="inlineStr">
        <is>
          <t xml:space="preserve">        </t>
        </is>
      </c>
      <c r="X5" s="227" t="inlineStr">
        <is>
          <t>spare</t>
        </is>
      </c>
      <c r="Y5" s="231" t="n"/>
    </row>
    <row r="6" ht="19.5" customFormat="1" customHeight="1" s="12">
      <c r="A6" s="232" t="n"/>
      <c r="B6" s="57" t="inlineStr">
        <is>
          <t>적산량×4800</t>
        </is>
      </c>
      <c r="C6" s="233" t="n"/>
      <c r="D6" s="233" t="n"/>
      <c r="E6" s="57" t="inlineStr">
        <is>
          <t>적산량×3600</t>
        </is>
      </c>
      <c r="F6" s="233" t="n"/>
      <c r="G6" s="233" t="n"/>
      <c r="H6" s="57" t="inlineStr">
        <is>
          <t>적산량×1800</t>
        </is>
      </c>
      <c r="I6" s="233" t="n"/>
      <c r="J6" s="233" t="n"/>
      <c r="K6" s="57" t="inlineStr">
        <is>
          <t>적산량×1800</t>
        </is>
      </c>
      <c r="L6" s="233" t="n"/>
      <c r="M6" s="234" t="n"/>
      <c r="N6" s="57" t="inlineStr">
        <is>
          <t>적산량×2400</t>
        </is>
      </c>
      <c r="O6" s="233" t="n"/>
      <c r="P6" s="233" t="n"/>
      <c r="Q6" s="57" t="inlineStr">
        <is>
          <t>적산량×2400</t>
        </is>
      </c>
      <c r="R6" s="233" t="n"/>
      <c r="S6" s="233" t="n"/>
      <c r="T6" s="57" t="inlineStr">
        <is>
          <t>적산량×1200</t>
        </is>
      </c>
      <c r="U6" s="233" t="n"/>
      <c r="V6" s="234" t="n"/>
      <c r="W6" s="57" t="inlineStr">
        <is>
          <t>적산량×1200</t>
        </is>
      </c>
      <c r="X6" s="233" t="n"/>
      <c r="Y6" s="235" t="n"/>
    </row>
    <row r="7" ht="19.5" customFormat="1" customHeight="1" s="14">
      <c r="A7" s="232" t="n"/>
      <c r="B7" s="61" t="inlineStr">
        <is>
          <t>지침(KW)</t>
        </is>
      </c>
      <c r="C7" s="236" t="inlineStr">
        <is>
          <t>사용량(KWH)</t>
        </is>
      </c>
      <c r="D7" s="236" t="inlineStr">
        <is>
          <t>최대(A)</t>
        </is>
      </c>
      <c r="E7" s="61" t="inlineStr">
        <is>
          <t>지침(KW)</t>
        </is>
      </c>
      <c r="F7" s="236" t="inlineStr">
        <is>
          <t>사용량(KWH)</t>
        </is>
      </c>
      <c r="G7" s="236" t="inlineStr">
        <is>
          <t>최대(A)</t>
        </is>
      </c>
      <c r="H7" s="61" t="inlineStr">
        <is>
          <t>지침(KW)</t>
        </is>
      </c>
      <c r="I7" s="236" t="inlineStr">
        <is>
          <t>사용량(KWH)</t>
        </is>
      </c>
      <c r="J7" s="236" t="inlineStr">
        <is>
          <t>최대(A)</t>
        </is>
      </c>
      <c r="K7" s="61" t="inlineStr">
        <is>
          <t>지침(KW)</t>
        </is>
      </c>
      <c r="L7" s="236" t="inlineStr">
        <is>
          <t>사용량(KWH)</t>
        </is>
      </c>
      <c r="M7" s="237" t="inlineStr">
        <is>
          <t>최대(A)</t>
        </is>
      </c>
      <c r="N7" s="61" t="inlineStr">
        <is>
          <t>지침(KW)</t>
        </is>
      </c>
      <c r="O7" s="236" t="inlineStr">
        <is>
          <t>사용량(KWH)</t>
        </is>
      </c>
      <c r="P7" s="237" t="inlineStr">
        <is>
          <t>최대(A)</t>
        </is>
      </c>
      <c r="Q7" s="61" t="inlineStr">
        <is>
          <t>지침(KW)</t>
        </is>
      </c>
      <c r="R7" s="236" t="inlineStr">
        <is>
          <t>사용량(KWH)</t>
        </is>
      </c>
      <c r="S7" s="237" t="inlineStr">
        <is>
          <t>최대(A)</t>
        </is>
      </c>
      <c r="T7" s="61" t="inlineStr">
        <is>
          <t>지침(KW)</t>
        </is>
      </c>
      <c r="U7" s="236" t="inlineStr">
        <is>
          <t>사용량(KWH)</t>
        </is>
      </c>
      <c r="V7" s="237" t="inlineStr">
        <is>
          <t>최대(A)</t>
        </is>
      </c>
      <c r="W7" s="61" t="inlineStr">
        <is>
          <t>지침(KW)</t>
        </is>
      </c>
      <c r="X7" s="236" t="inlineStr">
        <is>
          <t>사용량(KWH)</t>
        </is>
      </c>
      <c r="Y7" s="238" t="inlineStr">
        <is>
          <t>최대(A)</t>
        </is>
      </c>
      <c r="AB7" s="7" t="n"/>
    </row>
    <row r="8" ht="18" customFormat="1" customHeight="1" s="8">
      <c r="A8" s="65" t="inlineStr">
        <is>
          <t>전일</t>
        </is>
      </c>
      <c r="B8" s="129" t="n"/>
      <c r="C8" s="239" t="n"/>
      <c r="D8" s="240" t="n"/>
      <c r="E8" s="129" t="n"/>
      <c r="F8" s="239" t="n"/>
      <c r="G8" s="240" t="n"/>
      <c r="H8" s="129" t="n"/>
      <c r="I8" s="239" t="n"/>
      <c r="J8" s="240" t="n"/>
      <c r="K8" s="129" t="n"/>
      <c r="L8" s="239" t="n"/>
      <c r="M8" s="69" t="n"/>
      <c r="N8" s="129" t="n"/>
      <c r="O8" s="241" t="n"/>
      <c r="P8" s="69" t="n"/>
      <c r="Q8" s="129" t="n"/>
      <c r="R8" s="241" t="n"/>
      <c r="S8" s="69" t="n"/>
      <c r="T8" s="129" t="n"/>
      <c r="U8" s="241" t="n"/>
      <c r="V8" s="69" t="n"/>
      <c r="W8" s="66" t="n"/>
      <c r="X8" s="241" t="n"/>
      <c r="Y8" s="242" t="n"/>
      <c r="Z8" s="12" t="n"/>
      <c r="AB8" s="7" t="n"/>
      <c r="AC8" s="7" t="n"/>
    </row>
    <row r="9" ht="15.75" customFormat="1" customHeight="1" s="15">
      <c r="A9" s="65" t="inlineStr">
        <is>
          <t>1일</t>
        </is>
      </c>
      <c r="B9" s="66" t="n"/>
      <c r="C9" s="241" t="n"/>
      <c r="D9" s="240" t="n"/>
      <c r="E9" s="66" t="n"/>
      <c r="F9" s="241" t="n"/>
      <c r="G9" s="240" t="n"/>
      <c r="H9" s="66" t="n"/>
      <c r="I9" s="241" t="n"/>
      <c r="J9" s="240" t="n"/>
      <c r="K9" s="66" t="n"/>
      <c r="L9" s="241" t="n"/>
      <c r="M9" s="69" t="n"/>
      <c r="N9" s="66" t="n"/>
      <c r="O9" s="241" t="n"/>
      <c r="P9" s="69" t="n"/>
      <c r="Q9" s="66" t="n"/>
      <c r="R9" s="241" t="n"/>
      <c r="S9" s="69" t="n"/>
      <c r="T9" s="66" t="n"/>
      <c r="U9" s="241" t="n"/>
      <c r="V9" s="69" t="n"/>
      <c r="W9" s="66" t="n"/>
      <c r="X9" s="241" t="n"/>
      <c r="Y9" s="242" t="n"/>
      <c r="Z9" s="71" t="n"/>
    </row>
    <row r="10" ht="15.75" customFormat="1" customHeight="1" s="15">
      <c r="A10" s="65" t="inlineStr">
        <is>
          <t>2일</t>
        </is>
      </c>
      <c r="B10" s="66" t="n"/>
      <c r="C10" s="241" t="n"/>
      <c r="D10" s="240" t="n"/>
      <c r="E10" s="66" t="n"/>
      <c r="F10" s="241" t="n"/>
      <c r="G10" s="240" t="n"/>
      <c r="H10" s="66" t="n"/>
      <c r="I10" s="241" t="n"/>
      <c r="J10" s="240" t="n"/>
      <c r="K10" s="66" t="n"/>
      <c r="L10" s="241" t="n"/>
      <c r="M10" s="69" t="n"/>
      <c r="N10" s="66" t="n"/>
      <c r="O10" s="241" t="n"/>
      <c r="P10" s="69" t="n"/>
      <c r="Q10" s="66" t="n"/>
      <c r="R10" s="241" t="n"/>
      <c r="S10" s="69" t="n"/>
      <c r="T10" s="66" t="n"/>
      <c r="U10" s="241" t="n"/>
      <c r="V10" s="69" t="n"/>
      <c r="W10" s="72" t="n"/>
      <c r="X10" s="241" t="n"/>
      <c r="Y10" s="243" t="n"/>
      <c r="Z10" s="71" t="n"/>
    </row>
    <row r="11" ht="15.75" customFormat="1" customHeight="1" s="15">
      <c r="A11" s="65" t="inlineStr">
        <is>
          <t>3일</t>
        </is>
      </c>
      <c r="B11" s="66" t="n"/>
      <c r="C11" s="241" t="n"/>
      <c r="D11" s="240" t="n"/>
      <c r="E11" s="66" t="n"/>
      <c r="F11" s="241" t="n"/>
      <c r="G11" s="240" t="n"/>
      <c r="H11" s="66" t="n"/>
      <c r="I11" s="241" t="n"/>
      <c r="J11" s="240" t="n"/>
      <c r="K11" s="66" t="n"/>
      <c r="L11" s="241" t="n"/>
      <c r="M11" s="69" t="n"/>
      <c r="N11" s="66" t="n"/>
      <c r="O11" s="241" t="n"/>
      <c r="P11" s="69" t="n"/>
      <c r="Q11" s="66" t="n"/>
      <c r="R11" s="241" t="n"/>
      <c r="S11" s="69" t="n"/>
      <c r="T11" s="66" t="n"/>
      <c r="U11" s="241" t="n"/>
      <c r="V11" s="69" t="n"/>
      <c r="W11" s="72" t="n"/>
      <c r="X11" s="241" t="n"/>
      <c r="Y11" s="243" t="n"/>
      <c r="Z11" s="71" t="n"/>
    </row>
    <row r="12" ht="15.75" customFormat="1" customHeight="1" s="15">
      <c r="A12" s="65" t="inlineStr">
        <is>
          <t>4일</t>
        </is>
      </c>
      <c r="B12" s="66" t="n"/>
      <c r="C12" s="241" t="n"/>
      <c r="D12" s="240" t="n"/>
      <c r="E12" s="66" t="n"/>
      <c r="F12" s="241" t="n"/>
      <c r="G12" s="240" t="n"/>
      <c r="H12" s="66" t="n"/>
      <c r="I12" s="241" t="n"/>
      <c r="J12" s="240" t="n"/>
      <c r="K12" s="66" t="n"/>
      <c r="L12" s="241" t="n"/>
      <c r="M12" s="69" t="n"/>
      <c r="N12" s="66" t="n"/>
      <c r="O12" s="241" t="n"/>
      <c r="P12" s="69" t="n"/>
      <c r="Q12" s="66" t="n"/>
      <c r="R12" s="241" t="n"/>
      <c r="S12" s="69" t="n"/>
      <c r="T12" s="66" t="n"/>
      <c r="U12" s="241" t="n"/>
      <c r="V12" s="69" t="n"/>
      <c r="W12" s="72" t="n"/>
      <c r="X12" s="241" t="n"/>
      <c r="Y12" s="243" t="n"/>
      <c r="Z12" s="71" t="n"/>
    </row>
    <row r="13" ht="15.75" customFormat="1" customHeight="1" s="15">
      <c r="A13" s="65" t="inlineStr">
        <is>
          <t>5일</t>
        </is>
      </c>
      <c r="B13" s="66" t="n"/>
      <c r="C13" s="241" t="n"/>
      <c r="D13" s="240" t="n"/>
      <c r="E13" s="66" t="n"/>
      <c r="F13" s="241" t="n"/>
      <c r="G13" s="240" t="n"/>
      <c r="H13" s="66" t="n"/>
      <c r="I13" s="241" t="n"/>
      <c r="J13" s="240" t="n"/>
      <c r="K13" s="66" t="n"/>
      <c r="L13" s="241" t="n"/>
      <c r="M13" s="69" t="n"/>
      <c r="N13" s="66" t="n"/>
      <c r="O13" s="241" t="n"/>
      <c r="P13" s="69" t="n"/>
      <c r="Q13" s="66" t="n"/>
      <c r="R13" s="241" t="n"/>
      <c r="S13" s="69" t="n"/>
      <c r="T13" s="66" t="n"/>
      <c r="U13" s="241" t="n"/>
      <c r="V13" s="69" t="n"/>
      <c r="W13" s="72" t="n"/>
      <c r="X13" s="241" t="n"/>
      <c r="Y13" s="243" t="n"/>
      <c r="Z13" s="71" t="n"/>
    </row>
    <row r="14" ht="15.75" customFormat="1" customHeight="1" s="15">
      <c r="A14" s="65" t="inlineStr">
        <is>
          <t>6일</t>
        </is>
      </c>
      <c r="B14" s="66" t="n"/>
      <c r="C14" s="241" t="n"/>
      <c r="D14" s="240" t="n"/>
      <c r="E14" s="66" t="n"/>
      <c r="F14" s="241" t="n"/>
      <c r="G14" s="240" t="n"/>
      <c r="H14" s="66" t="n"/>
      <c r="I14" s="241" t="n"/>
      <c r="J14" s="240" t="n"/>
      <c r="K14" s="66" t="n"/>
      <c r="L14" s="241" t="n"/>
      <c r="M14" s="69" t="n"/>
      <c r="N14" s="66" t="n"/>
      <c r="O14" s="241" t="n"/>
      <c r="P14" s="69" t="n"/>
      <c r="Q14" s="66" t="n"/>
      <c r="R14" s="241" t="n"/>
      <c r="S14" s="69" t="n"/>
      <c r="T14" s="66" t="n"/>
      <c r="U14" s="241" t="n"/>
      <c r="V14" s="69" t="n"/>
      <c r="W14" s="72" t="n"/>
      <c r="X14" s="241" t="n"/>
      <c r="Y14" s="243" t="n"/>
      <c r="Z14" s="71" t="n"/>
      <c r="AA14" s="37" t="n"/>
      <c r="AB14" s="37" t="n"/>
      <c r="AD14" s="244" t="n"/>
    </row>
    <row r="15" ht="15.75" customFormat="1" customHeight="1" s="15">
      <c r="A15" s="65" t="inlineStr">
        <is>
          <t>7일</t>
        </is>
      </c>
      <c r="B15" s="66" t="n"/>
      <c r="C15" s="241" t="n"/>
      <c r="D15" s="240" t="n"/>
      <c r="E15" s="66" t="n"/>
      <c r="F15" s="241" t="n"/>
      <c r="G15" s="240" t="n"/>
      <c r="H15" s="66" t="n"/>
      <c r="I15" s="241" t="n"/>
      <c r="J15" s="240" t="n"/>
      <c r="K15" s="66" t="n"/>
      <c r="L15" s="241" t="n"/>
      <c r="M15" s="69" t="n"/>
      <c r="N15" s="66" t="n"/>
      <c r="O15" s="241" t="n"/>
      <c r="P15" s="69" t="n"/>
      <c r="Q15" s="66" t="n"/>
      <c r="R15" s="241" t="n"/>
      <c r="S15" s="69" t="n"/>
      <c r="T15" s="66" t="n"/>
      <c r="U15" s="241" t="n"/>
      <c r="V15" s="69" t="n"/>
      <c r="W15" s="72" t="n"/>
      <c r="X15" s="241" t="n"/>
      <c r="Y15" s="243" t="n"/>
      <c r="Z15" s="71" t="n"/>
    </row>
    <row r="16" ht="15.75" customFormat="1" customHeight="1" s="15">
      <c r="A16" s="65" t="inlineStr">
        <is>
          <t>8일</t>
        </is>
      </c>
      <c r="B16" s="66" t="n"/>
      <c r="C16" s="241" t="n"/>
      <c r="D16" s="240" t="n"/>
      <c r="E16" s="66" t="n"/>
      <c r="F16" s="241" t="n"/>
      <c r="G16" s="240" t="n"/>
      <c r="H16" s="66" t="n"/>
      <c r="I16" s="241" t="n"/>
      <c r="J16" s="240" t="n"/>
      <c r="K16" s="66" t="n"/>
      <c r="L16" s="241" t="n"/>
      <c r="M16" s="69" t="n"/>
      <c r="N16" s="66" t="n"/>
      <c r="O16" s="241" t="n"/>
      <c r="P16" s="69" t="n"/>
      <c r="Q16" s="66" t="n"/>
      <c r="R16" s="241" t="n"/>
      <c r="S16" s="69" t="n"/>
      <c r="T16" s="66" t="n"/>
      <c r="U16" s="241" t="n"/>
      <c r="V16" s="69" t="n"/>
      <c r="W16" s="72" t="n"/>
      <c r="X16" s="241" t="n"/>
      <c r="Y16" s="243" t="n"/>
      <c r="Z16" s="71" t="n"/>
    </row>
    <row r="17" ht="15.75" customFormat="1" customHeight="1" s="15">
      <c r="A17" s="65" t="inlineStr">
        <is>
          <t>9일</t>
        </is>
      </c>
      <c r="B17" s="66" t="n"/>
      <c r="C17" s="241" t="n"/>
      <c r="D17" s="240" t="n"/>
      <c r="E17" s="66" t="n"/>
      <c r="F17" s="241" t="n"/>
      <c r="G17" s="240" t="n"/>
      <c r="H17" s="66" t="n"/>
      <c r="I17" s="241" t="n"/>
      <c r="J17" s="240" t="n"/>
      <c r="K17" s="66" t="n"/>
      <c r="L17" s="241" t="n"/>
      <c r="M17" s="69" t="n"/>
      <c r="N17" s="66" t="n"/>
      <c r="O17" s="241" t="n"/>
      <c r="P17" s="69" t="n"/>
      <c r="Q17" s="66" t="n"/>
      <c r="R17" s="241" t="n"/>
      <c r="S17" s="69" t="n"/>
      <c r="T17" s="66" t="n"/>
      <c r="U17" s="241" t="n"/>
      <c r="V17" s="69" t="n"/>
      <c r="W17" s="72" t="n"/>
      <c r="X17" s="241" t="n"/>
      <c r="Y17" s="243" t="n"/>
      <c r="Z17" s="71" t="n"/>
    </row>
    <row r="18" ht="15.75" customFormat="1" customHeight="1" s="15">
      <c r="A18" s="65" t="inlineStr">
        <is>
          <t>10일</t>
        </is>
      </c>
      <c r="B18" s="66" t="n"/>
      <c r="C18" s="241" t="n"/>
      <c r="D18" s="240" t="n"/>
      <c r="E18" s="66" t="n"/>
      <c r="F18" s="241" t="n"/>
      <c r="G18" s="240" t="n"/>
      <c r="H18" s="66" t="n"/>
      <c r="I18" s="241" t="n"/>
      <c r="J18" s="240" t="n"/>
      <c r="K18" s="66" t="n"/>
      <c r="L18" s="241" t="n"/>
      <c r="M18" s="69" t="n"/>
      <c r="N18" s="66" t="n"/>
      <c r="O18" s="241" t="n"/>
      <c r="P18" s="69" t="n"/>
      <c r="Q18" s="66" t="n"/>
      <c r="R18" s="241" t="n"/>
      <c r="S18" s="69" t="n"/>
      <c r="T18" s="66" t="n"/>
      <c r="U18" s="241" t="n"/>
      <c r="V18" s="69" t="n"/>
      <c r="W18" s="72" t="n"/>
      <c r="X18" s="241" t="n"/>
      <c r="Y18" s="243" t="n"/>
      <c r="Z18" s="71" t="n"/>
    </row>
    <row r="19" ht="15.75" customFormat="1" customHeight="1" s="15">
      <c r="A19" s="65" t="inlineStr">
        <is>
          <t>11일</t>
        </is>
      </c>
      <c r="B19" s="66" t="n"/>
      <c r="C19" s="241" t="n"/>
      <c r="D19" s="240" t="n"/>
      <c r="E19" s="66" t="n"/>
      <c r="F19" s="241" t="n"/>
      <c r="G19" s="240" t="n"/>
      <c r="H19" s="66" t="n"/>
      <c r="I19" s="241" t="n"/>
      <c r="J19" s="240" t="n"/>
      <c r="K19" s="66" t="n"/>
      <c r="L19" s="241" t="n"/>
      <c r="M19" s="69" t="n"/>
      <c r="N19" s="66" t="n"/>
      <c r="O19" s="241" t="n"/>
      <c r="P19" s="69" t="n"/>
      <c r="Q19" s="66" t="n"/>
      <c r="R19" s="241" t="n"/>
      <c r="S19" s="69" t="n"/>
      <c r="T19" s="66" t="n"/>
      <c r="U19" s="241" t="n"/>
      <c r="V19" s="69" t="n"/>
      <c r="W19" s="72" t="n"/>
      <c r="X19" s="241" t="n"/>
      <c r="Y19" s="243" t="n"/>
      <c r="Z19" s="71" t="n"/>
    </row>
    <row r="20" ht="15.75" customFormat="1" customHeight="1" s="15">
      <c r="A20" s="65" t="inlineStr">
        <is>
          <t>12일</t>
        </is>
      </c>
      <c r="B20" s="66" t="n"/>
      <c r="C20" s="241" t="n"/>
      <c r="D20" s="240" t="n"/>
      <c r="E20" s="66" t="n"/>
      <c r="F20" s="241" t="n"/>
      <c r="G20" s="240" t="n"/>
      <c r="H20" s="66" t="n"/>
      <c r="I20" s="241" t="n"/>
      <c r="J20" s="240" t="n"/>
      <c r="K20" s="66" t="n"/>
      <c r="L20" s="241" t="n"/>
      <c r="M20" s="69" t="n"/>
      <c r="N20" s="66" t="n"/>
      <c r="O20" s="241" t="n"/>
      <c r="P20" s="69" t="n"/>
      <c r="Q20" s="66" t="n"/>
      <c r="R20" s="241" t="n"/>
      <c r="S20" s="69" t="n"/>
      <c r="T20" s="66" t="n"/>
      <c r="U20" s="241" t="n"/>
      <c r="V20" s="69" t="n"/>
      <c r="W20" s="72" t="n"/>
      <c r="X20" s="241" t="n"/>
      <c r="Y20" s="243" t="n"/>
      <c r="Z20" s="71" t="n"/>
    </row>
    <row r="21" ht="15.75" customFormat="1" customHeight="1" s="15">
      <c r="A21" s="65" t="inlineStr">
        <is>
          <t>13일</t>
        </is>
      </c>
      <c r="B21" s="66" t="n"/>
      <c r="C21" s="241" t="n"/>
      <c r="D21" s="240" t="n"/>
      <c r="E21" s="66" t="n"/>
      <c r="F21" s="241" t="n"/>
      <c r="G21" s="240" t="n"/>
      <c r="H21" s="66" t="n"/>
      <c r="I21" s="241" t="n"/>
      <c r="J21" s="240" t="n"/>
      <c r="K21" s="66" t="n"/>
      <c r="L21" s="241" t="n"/>
      <c r="M21" s="69" t="n"/>
      <c r="N21" s="66" t="n"/>
      <c r="O21" s="241" t="n"/>
      <c r="P21" s="69" t="n"/>
      <c r="Q21" s="66" t="n"/>
      <c r="R21" s="241" t="n"/>
      <c r="S21" s="69" t="n"/>
      <c r="T21" s="66" t="n"/>
      <c r="U21" s="241" t="n"/>
      <c r="V21" s="69" t="n"/>
      <c r="W21" s="72" t="n"/>
      <c r="X21" s="241" t="n"/>
      <c r="Y21" s="243" t="n"/>
      <c r="Z21" s="71" t="n"/>
    </row>
    <row r="22" ht="15.75" customFormat="1" customHeight="1" s="15">
      <c r="A22" s="65" t="inlineStr">
        <is>
          <t>14일</t>
        </is>
      </c>
      <c r="B22" s="66" t="n"/>
      <c r="C22" s="241" t="n"/>
      <c r="D22" s="240" t="n"/>
      <c r="E22" s="66" t="n"/>
      <c r="F22" s="241" t="n"/>
      <c r="G22" s="240" t="n"/>
      <c r="H22" s="66" t="n"/>
      <c r="I22" s="241" t="n"/>
      <c r="J22" s="240" t="n"/>
      <c r="K22" s="66" t="n"/>
      <c r="L22" s="241" t="n"/>
      <c r="M22" s="69" t="n"/>
      <c r="N22" s="66" t="n"/>
      <c r="O22" s="241" t="n"/>
      <c r="P22" s="69" t="n"/>
      <c r="Q22" s="66" t="n"/>
      <c r="R22" s="241" t="n"/>
      <c r="S22" s="69" t="n"/>
      <c r="T22" s="66" t="n"/>
      <c r="U22" s="241" t="n"/>
      <c r="V22" s="69" t="n"/>
      <c r="W22" s="72" t="n"/>
      <c r="X22" s="241" t="n"/>
      <c r="Y22" s="243" t="n"/>
      <c r="Z22" s="71" t="n"/>
    </row>
    <row r="23" ht="15.75" customFormat="1" customHeight="1" s="15">
      <c r="A23" s="65" t="inlineStr">
        <is>
          <t>15일</t>
        </is>
      </c>
      <c r="B23" s="66" t="n"/>
      <c r="C23" s="241" t="n"/>
      <c r="D23" s="240" t="n"/>
      <c r="E23" s="66" t="n"/>
      <c r="F23" s="241" t="n"/>
      <c r="G23" s="240" t="n"/>
      <c r="H23" s="66" t="n"/>
      <c r="I23" s="241" t="n"/>
      <c r="J23" s="240" t="n"/>
      <c r="K23" s="66" t="n"/>
      <c r="L23" s="241" t="n"/>
      <c r="M23" s="69" t="n"/>
      <c r="N23" s="66" t="n"/>
      <c r="O23" s="241" t="n"/>
      <c r="P23" s="69" t="n"/>
      <c r="Q23" s="66" t="n"/>
      <c r="R23" s="241" t="n"/>
      <c r="S23" s="69" t="n"/>
      <c r="T23" s="66" t="n"/>
      <c r="U23" s="241" t="n"/>
      <c r="V23" s="69" t="n"/>
      <c r="W23" s="72" t="n"/>
      <c r="X23" s="241" t="n"/>
      <c r="Y23" s="243" t="n"/>
      <c r="Z23" s="71" t="n"/>
    </row>
    <row r="24" ht="15.75" customFormat="1" customHeight="1" s="15">
      <c r="A24" s="65" t="inlineStr">
        <is>
          <t>16일</t>
        </is>
      </c>
      <c r="B24" s="66" t="n"/>
      <c r="C24" s="241" t="n"/>
      <c r="D24" s="240" t="n"/>
      <c r="E24" s="66" t="n"/>
      <c r="F24" s="241" t="n"/>
      <c r="G24" s="240" t="n"/>
      <c r="H24" s="66" t="n"/>
      <c r="I24" s="241" t="n"/>
      <c r="J24" s="240" t="n"/>
      <c r="K24" s="66" t="n"/>
      <c r="L24" s="241" t="n"/>
      <c r="M24" s="69" t="n"/>
      <c r="N24" s="66" t="n"/>
      <c r="O24" s="241" t="n"/>
      <c r="P24" s="69" t="n"/>
      <c r="Q24" s="66" t="n"/>
      <c r="R24" s="241" t="n"/>
      <c r="S24" s="69" t="n"/>
      <c r="T24" s="66" t="n"/>
      <c r="U24" s="241" t="n"/>
      <c r="V24" s="69" t="n"/>
      <c r="W24" s="72" t="n"/>
      <c r="X24" s="241" t="n"/>
      <c r="Y24" s="243" t="n"/>
      <c r="Z24" s="71" t="n"/>
    </row>
    <row r="25" ht="15.75" customFormat="1" customHeight="1" s="15">
      <c r="A25" s="65" t="inlineStr">
        <is>
          <t>17일</t>
        </is>
      </c>
      <c r="B25" s="66" t="n"/>
      <c r="C25" s="241" t="n"/>
      <c r="D25" s="240" t="n"/>
      <c r="E25" s="66" t="n"/>
      <c r="F25" s="241" t="n"/>
      <c r="G25" s="240" t="n"/>
      <c r="H25" s="66" t="n"/>
      <c r="I25" s="241" t="n"/>
      <c r="J25" s="240" t="n"/>
      <c r="K25" s="66" t="n"/>
      <c r="L25" s="241" t="n"/>
      <c r="M25" s="69" t="n"/>
      <c r="N25" s="66" t="n"/>
      <c r="O25" s="241" t="n"/>
      <c r="P25" s="69" t="n"/>
      <c r="Q25" s="66" t="n"/>
      <c r="R25" s="241" t="n"/>
      <c r="S25" s="69" t="n"/>
      <c r="T25" s="66" t="n"/>
      <c r="U25" s="241" t="n"/>
      <c r="V25" s="69" t="n"/>
      <c r="W25" s="72" t="n"/>
      <c r="X25" s="241" t="n"/>
      <c r="Y25" s="243" t="n"/>
      <c r="Z25" s="71" t="n"/>
    </row>
    <row r="26" ht="15.75" customFormat="1" customHeight="1" s="15">
      <c r="A26" s="65" t="inlineStr">
        <is>
          <t>18일</t>
        </is>
      </c>
      <c r="B26" s="66" t="n"/>
      <c r="C26" s="241" t="n"/>
      <c r="D26" s="240" t="n"/>
      <c r="E26" s="66" t="n"/>
      <c r="F26" s="241" t="n"/>
      <c r="G26" s="240" t="n"/>
      <c r="H26" s="66" t="n"/>
      <c r="I26" s="241" t="n"/>
      <c r="J26" s="240" t="n"/>
      <c r="K26" s="66" t="n"/>
      <c r="L26" s="241" t="n"/>
      <c r="M26" s="69" t="n"/>
      <c r="N26" s="66" t="n"/>
      <c r="O26" s="241" t="n"/>
      <c r="P26" s="69" t="n"/>
      <c r="Q26" s="66" t="n"/>
      <c r="R26" s="241" t="n"/>
      <c r="S26" s="69" t="n"/>
      <c r="T26" s="66" t="n"/>
      <c r="U26" s="241" t="n"/>
      <c r="V26" s="69" t="n"/>
      <c r="W26" s="72" t="n"/>
      <c r="X26" s="241" t="n"/>
      <c r="Y26" s="243" t="n"/>
      <c r="Z26" s="71" t="n"/>
    </row>
    <row r="27" ht="15.75" customFormat="1" customHeight="1" s="15">
      <c r="A27" s="65" t="inlineStr">
        <is>
          <t>19일</t>
        </is>
      </c>
      <c r="B27" s="66" t="n"/>
      <c r="C27" s="241" t="n"/>
      <c r="D27" s="240" t="n"/>
      <c r="E27" s="66" t="n"/>
      <c r="F27" s="241" t="n"/>
      <c r="G27" s="240" t="n"/>
      <c r="H27" s="66" t="n"/>
      <c r="I27" s="241" t="n"/>
      <c r="J27" s="240" t="n"/>
      <c r="K27" s="66" t="n"/>
      <c r="L27" s="241" t="n"/>
      <c r="M27" s="69" t="n"/>
      <c r="N27" s="66" t="n"/>
      <c r="O27" s="241" t="n"/>
      <c r="P27" s="69" t="n"/>
      <c r="Q27" s="66" t="n"/>
      <c r="R27" s="241" t="n"/>
      <c r="S27" s="69" t="n"/>
      <c r="T27" s="66" t="n"/>
      <c r="U27" s="241" t="n"/>
      <c r="V27" s="69" t="n"/>
      <c r="W27" s="72" t="n"/>
      <c r="X27" s="241" t="n"/>
      <c r="Y27" s="243" t="n"/>
      <c r="Z27" s="71" t="n"/>
    </row>
    <row r="28" ht="15.75" customFormat="1" customHeight="1" s="15">
      <c r="A28" s="65" t="inlineStr">
        <is>
          <t>20일</t>
        </is>
      </c>
      <c r="B28" s="66" t="n"/>
      <c r="C28" s="241" t="n"/>
      <c r="D28" s="240" t="n"/>
      <c r="E28" s="66" t="n"/>
      <c r="F28" s="241" t="n"/>
      <c r="G28" s="240" t="n"/>
      <c r="H28" s="66" t="n"/>
      <c r="I28" s="241" t="n"/>
      <c r="J28" s="240" t="n"/>
      <c r="K28" s="66" t="n"/>
      <c r="L28" s="241" t="n"/>
      <c r="M28" s="69" t="n"/>
      <c r="N28" s="66" t="n"/>
      <c r="O28" s="241" t="n"/>
      <c r="P28" s="69" t="n"/>
      <c r="Q28" s="66" t="n"/>
      <c r="R28" s="241" t="n"/>
      <c r="S28" s="69" t="n"/>
      <c r="T28" s="66" t="n"/>
      <c r="U28" s="241" t="n"/>
      <c r="V28" s="69" t="n"/>
      <c r="W28" s="72" t="n"/>
      <c r="X28" s="241" t="n"/>
      <c r="Y28" s="243" t="n"/>
      <c r="Z28" s="71" t="n"/>
    </row>
    <row r="29" ht="15.75" customFormat="1" customHeight="1" s="15">
      <c r="A29" s="65" t="inlineStr">
        <is>
          <t>21일</t>
        </is>
      </c>
      <c r="B29" s="66" t="n"/>
      <c r="C29" s="241" t="n"/>
      <c r="D29" s="240" t="n"/>
      <c r="E29" s="66" t="n"/>
      <c r="F29" s="241" t="n"/>
      <c r="G29" s="240" t="n"/>
      <c r="H29" s="66" t="n"/>
      <c r="I29" s="241" t="n"/>
      <c r="J29" s="240" t="n"/>
      <c r="K29" s="66" t="n"/>
      <c r="L29" s="241" t="n"/>
      <c r="M29" s="69" t="n"/>
      <c r="N29" s="66" t="n"/>
      <c r="O29" s="241" t="n"/>
      <c r="P29" s="69" t="n"/>
      <c r="Q29" s="66" t="n"/>
      <c r="R29" s="241" t="n"/>
      <c r="S29" s="69" t="n"/>
      <c r="T29" s="66" t="n"/>
      <c r="U29" s="241" t="n"/>
      <c r="V29" s="69" t="n"/>
      <c r="W29" s="72" t="n"/>
      <c r="X29" s="241" t="n"/>
      <c r="Y29" s="243" t="n"/>
      <c r="Z29" s="71" t="n"/>
    </row>
    <row r="30" ht="15.75" customFormat="1" customHeight="1" s="15">
      <c r="A30" s="65" t="inlineStr">
        <is>
          <t>22일</t>
        </is>
      </c>
      <c r="B30" s="66" t="n"/>
      <c r="C30" s="241" t="n"/>
      <c r="D30" s="240" t="n"/>
      <c r="E30" s="66" t="n"/>
      <c r="F30" s="241" t="n"/>
      <c r="G30" s="240" t="n"/>
      <c r="H30" s="66" t="n"/>
      <c r="I30" s="241" t="n"/>
      <c r="J30" s="240" t="n"/>
      <c r="K30" s="66" t="n"/>
      <c r="L30" s="241" t="n"/>
      <c r="M30" s="69" t="n"/>
      <c r="N30" s="66" t="n"/>
      <c r="O30" s="241" t="n"/>
      <c r="P30" s="69" t="n"/>
      <c r="Q30" s="66" t="n"/>
      <c r="R30" s="241" t="n"/>
      <c r="S30" s="69" t="n"/>
      <c r="T30" s="66" t="n"/>
      <c r="U30" s="241" t="n"/>
      <c r="V30" s="69" t="n"/>
      <c r="W30" s="72" t="n"/>
      <c r="X30" s="241" t="n"/>
      <c r="Y30" s="243" t="n"/>
      <c r="Z30" s="71" t="n"/>
    </row>
    <row r="31" ht="15.75" customFormat="1" customHeight="1" s="15">
      <c r="A31" s="65" t="inlineStr">
        <is>
          <t>23일</t>
        </is>
      </c>
      <c r="B31" s="66" t="n"/>
      <c r="C31" s="241" t="n"/>
      <c r="D31" s="240" t="n"/>
      <c r="E31" s="66" t="n"/>
      <c r="F31" s="241" t="n"/>
      <c r="G31" s="240" t="n"/>
      <c r="H31" s="66" t="n"/>
      <c r="I31" s="241" t="n"/>
      <c r="J31" s="240" t="n"/>
      <c r="K31" s="66" t="n"/>
      <c r="L31" s="241" t="n"/>
      <c r="M31" s="69" t="n"/>
      <c r="N31" s="66" t="n"/>
      <c r="O31" s="241" t="n"/>
      <c r="P31" s="69" t="n"/>
      <c r="Q31" s="66" t="n"/>
      <c r="R31" s="241" t="n"/>
      <c r="S31" s="69" t="n"/>
      <c r="T31" s="66" t="n"/>
      <c r="U31" s="241" t="n"/>
      <c r="V31" s="69" t="n"/>
      <c r="W31" s="72" t="n"/>
      <c r="X31" s="241" t="n"/>
      <c r="Y31" s="243" t="n"/>
      <c r="Z31" s="71" t="n"/>
    </row>
    <row r="32" ht="15.75" customFormat="1" customHeight="1" s="15">
      <c r="A32" s="65" t="inlineStr">
        <is>
          <t>24일</t>
        </is>
      </c>
      <c r="B32" s="66" t="n"/>
      <c r="C32" s="241" t="n"/>
      <c r="D32" s="240" t="n"/>
      <c r="E32" s="66" t="n"/>
      <c r="F32" s="241" t="n"/>
      <c r="G32" s="240" t="n"/>
      <c r="H32" s="66" t="n"/>
      <c r="I32" s="241" t="n"/>
      <c r="J32" s="240" t="n"/>
      <c r="K32" s="66" t="n"/>
      <c r="L32" s="241" t="n"/>
      <c r="M32" s="69" t="n"/>
      <c r="N32" s="66" t="n"/>
      <c r="O32" s="241" t="n"/>
      <c r="P32" s="69" t="n"/>
      <c r="Q32" s="66" t="n"/>
      <c r="R32" s="241" t="n"/>
      <c r="S32" s="69" t="n"/>
      <c r="T32" s="66" t="n"/>
      <c r="U32" s="241" t="n"/>
      <c r="V32" s="69" t="n"/>
      <c r="W32" s="72" t="n"/>
      <c r="X32" s="241" t="n"/>
      <c r="Y32" s="243" t="n"/>
      <c r="Z32" s="71" t="n"/>
    </row>
    <row r="33" ht="15.75" customFormat="1" customHeight="1" s="15">
      <c r="A33" s="65" t="inlineStr">
        <is>
          <t>25일</t>
        </is>
      </c>
      <c r="B33" s="66" t="n"/>
      <c r="C33" s="241" t="n"/>
      <c r="D33" s="240" t="n"/>
      <c r="E33" s="66" t="n"/>
      <c r="F33" s="241" t="n"/>
      <c r="G33" s="240" t="n"/>
      <c r="H33" s="66" t="n"/>
      <c r="I33" s="241" t="n"/>
      <c r="J33" s="240" t="n"/>
      <c r="K33" s="66" t="n"/>
      <c r="L33" s="241" t="n"/>
      <c r="M33" s="69" t="n"/>
      <c r="N33" s="66" t="n"/>
      <c r="O33" s="241" t="n"/>
      <c r="P33" s="69" t="n"/>
      <c r="Q33" s="66" t="n"/>
      <c r="R33" s="241" t="n"/>
      <c r="S33" s="69" t="n"/>
      <c r="T33" s="66" t="n"/>
      <c r="U33" s="241" t="n"/>
      <c r="V33" s="69" t="n"/>
      <c r="W33" s="72" t="n"/>
      <c r="X33" s="241" t="n"/>
      <c r="Y33" s="243" t="n"/>
      <c r="Z33" s="71" t="n"/>
    </row>
    <row r="34" ht="15.75" customFormat="1" customHeight="1" s="15">
      <c r="A34" s="65" t="inlineStr">
        <is>
          <t>26일</t>
        </is>
      </c>
      <c r="B34" s="66" t="n"/>
      <c r="C34" s="241" t="n"/>
      <c r="D34" s="240" t="n"/>
      <c r="E34" s="66" t="n"/>
      <c r="F34" s="241" t="n"/>
      <c r="G34" s="240" t="n"/>
      <c r="H34" s="66" t="n"/>
      <c r="I34" s="241" t="n"/>
      <c r="J34" s="240" t="n"/>
      <c r="K34" s="66" t="n"/>
      <c r="L34" s="241" t="n"/>
      <c r="M34" s="69" t="n"/>
      <c r="N34" s="66" t="n"/>
      <c r="O34" s="241" t="n"/>
      <c r="P34" s="69" t="n"/>
      <c r="Q34" s="66" t="n"/>
      <c r="R34" s="241" t="n"/>
      <c r="S34" s="69" t="n"/>
      <c r="T34" s="66" t="n"/>
      <c r="U34" s="241" t="n"/>
      <c r="V34" s="69" t="n"/>
      <c r="W34" s="72" t="n"/>
      <c r="X34" s="241" t="n"/>
      <c r="Y34" s="243" t="n"/>
      <c r="Z34" s="71" t="n"/>
    </row>
    <row r="35" ht="15.75" customFormat="1" customHeight="1" s="15">
      <c r="A35" s="65" t="inlineStr">
        <is>
          <t>27일</t>
        </is>
      </c>
      <c r="B35" s="66" t="n"/>
      <c r="C35" s="241" t="n"/>
      <c r="D35" s="240" t="n"/>
      <c r="E35" s="66" t="n"/>
      <c r="F35" s="241" t="n"/>
      <c r="G35" s="240" t="n"/>
      <c r="H35" s="66" t="n"/>
      <c r="I35" s="241" t="n"/>
      <c r="J35" s="240" t="n"/>
      <c r="K35" s="66" t="n"/>
      <c r="L35" s="241" t="n"/>
      <c r="M35" s="69" t="n"/>
      <c r="N35" s="66" t="n"/>
      <c r="O35" s="241" t="n"/>
      <c r="P35" s="69" t="n"/>
      <c r="Q35" s="66" t="n"/>
      <c r="R35" s="241" t="n"/>
      <c r="S35" s="69" t="n"/>
      <c r="T35" s="66" t="n"/>
      <c r="U35" s="241" t="n"/>
      <c r="V35" s="69" t="n"/>
      <c r="W35" s="72" t="n"/>
      <c r="X35" s="241" t="n"/>
      <c r="Y35" s="243" t="n"/>
      <c r="Z35" s="71" t="n"/>
    </row>
    <row r="36" ht="15.75" customFormat="1" customHeight="1" s="15">
      <c r="A36" s="65" t="inlineStr">
        <is>
          <t>28일</t>
        </is>
      </c>
      <c r="B36" s="66" t="n"/>
      <c r="C36" s="241" t="n"/>
      <c r="D36" s="240" t="n"/>
      <c r="E36" s="66" t="n"/>
      <c r="F36" s="241" t="n"/>
      <c r="G36" s="240" t="n"/>
      <c r="H36" s="66" t="n"/>
      <c r="I36" s="241" t="n"/>
      <c r="J36" s="240" t="n"/>
      <c r="K36" s="66" t="n"/>
      <c r="L36" s="241" t="n"/>
      <c r="M36" s="69" t="n"/>
      <c r="N36" s="66" t="n"/>
      <c r="O36" s="241" t="n"/>
      <c r="P36" s="69" t="n"/>
      <c r="Q36" s="66" t="n"/>
      <c r="R36" s="241" t="n"/>
      <c r="S36" s="69" t="n"/>
      <c r="T36" s="66" t="n"/>
      <c r="U36" s="241" t="n"/>
      <c r="V36" s="69" t="n"/>
      <c r="W36" s="72" t="n"/>
      <c r="X36" s="241" t="n"/>
      <c r="Y36" s="243" t="n"/>
      <c r="Z36" s="71" t="n"/>
    </row>
    <row r="37" ht="15.75" customFormat="1" customHeight="1" s="15">
      <c r="A37" s="65" t="inlineStr">
        <is>
          <t>29일</t>
        </is>
      </c>
      <c r="B37" s="66" t="n"/>
      <c r="C37" s="241" t="n"/>
      <c r="D37" s="240" t="n"/>
      <c r="E37" s="66" t="n"/>
      <c r="F37" s="241" t="n"/>
      <c r="G37" s="240" t="n"/>
      <c r="H37" s="66" t="n"/>
      <c r="I37" s="241" t="n"/>
      <c r="J37" s="240" t="n"/>
      <c r="K37" s="66" t="n"/>
      <c r="L37" s="241" t="n"/>
      <c r="M37" s="69" t="n"/>
      <c r="N37" s="66" t="n"/>
      <c r="O37" s="241" t="n"/>
      <c r="P37" s="69" t="n"/>
      <c r="Q37" s="66" t="n"/>
      <c r="R37" s="241" t="n"/>
      <c r="S37" s="69" t="n"/>
      <c r="T37" s="66" t="n"/>
      <c r="U37" s="241" t="n"/>
      <c r="V37" s="69" t="n"/>
      <c r="W37" s="72" t="n"/>
      <c r="X37" s="241" t="n"/>
      <c r="Y37" s="243" t="n"/>
      <c r="Z37" s="71" t="n"/>
    </row>
    <row r="38" ht="15.75" customFormat="1" customHeight="1" s="15">
      <c r="A38" s="65" t="inlineStr">
        <is>
          <t>30일</t>
        </is>
      </c>
      <c r="B38" s="66" t="n"/>
      <c r="C38" s="241" t="n"/>
      <c r="D38" s="240" t="n"/>
      <c r="E38" s="66" t="n"/>
      <c r="F38" s="241" t="n"/>
      <c r="G38" s="240" t="n"/>
      <c r="H38" s="66" t="n"/>
      <c r="I38" s="241" t="n"/>
      <c r="J38" s="240" t="n"/>
      <c r="K38" s="66" t="n"/>
      <c r="L38" s="241" t="n"/>
      <c r="M38" s="69" t="n"/>
      <c r="N38" s="66" t="n"/>
      <c r="O38" s="241" t="n"/>
      <c r="P38" s="69" t="n"/>
      <c r="Q38" s="66" t="n"/>
      <c r="R38" s="241" t="n"/>
      <c r="S38" s="69" t="n"/>
      <c r="T38" s="66" t="n"/>
      <c r="U38" s="241" t="n"/>
      <c r="V38" s="69" t="n"/>
      <c r="W38" s="72" t="n"/>
      <c r="X38" s="241" t="n"/>
      <c r="Y38" s="243" t="n"/>
      <c r="Z38" s="71" t="n"/>
    </row>
    <row r="39" ht="15.75" customFormat="1" customHeight="1" s="15" thickBot="1">
      <c r="A39" s="65" t="inlineStr">
        <is>
          <t>31일</t>
        </is>
      </c>
      <c r="B39" s="66" t="n"/>
      <c r="C39" s="241" t="n"/>
      <c r="D39" s="240" t="n"/>
      <c r="E39" s="66" t="n"/>
      <c r="F39" s="241" t="n"/>
      <c r="G39" s="240" t="n"/>
      <c r="H39" s="66" t="n"/>
      <c r="I39" s="241" t="n"/>
      <c r="J39" s="240" t="n"/>
      <c r="K39" s="66" t="n"/>
      <c r="L39" s="241" t="n"/>
      <c r="M39" s="69" t="n"/>
      <c r="N39" s="66" t="n"/>
      <c r="O39" s="241" t="n"/>
      <c r="P39" s="69" t="n"/>
      <c r="Q39" s="66" t="n"/>
      <c r="R39" s="241" t="n"/>
      <c r="S39" s="69" t="n"/>
      <c r="T39" s="66" t="n"/>
      <c r="U39" s="241" t="n"/>
      <c r="V39" s="69" t="n"/>
      <c r="W39" s="72" t="n"/>
      <c r="X39" s="241" t="n"/>
      <c r="Y39" s="243" t="n"/>
      <c r="Z39" s="71" t="n"/>
    </row>
    <row r="40" ht="16.5" customFormat="1" customHeight="1" s="20" thickTop="1">
      <c r="A40" s="245" t="inlineStr">
        <is>
          <t>계</t>
        </is>
      </c>
      <c r="B40" s="246" t="n"/>
      <c r="C40" s="247">
        <f>IFERROR(SUM(C8:C37), "")</f>
        <v/>
      </c>
      <c r="D40" s="248" t="n"/>
      <c r="E40" s="73" t="n"/>
      <c r="F40" s="247">
        <f>SUM(F8:F37)</f>
        <v/>
      </c>
      <c r="G40" s="248">
        <f>MAX(G9:G37)</f>
        <v/>
      </c>
      <c r="H40" s="248" t="n"/>
      <c r="I40" s="247">
        <f>SUM(I8:I37)</f>
        <v/>
      </c>
      <c r="J40" s="248">
        <f>MAX(J9:J37)</f>
        <v/>
      </c>
      <c r="K40" s="73" t="n"/>
      <c r="L40" s="247">
        <f>SUM(L8:L37)</f>
        <v/>
      </c>
      <c r="M40" s="248">
        <f>MAX(M9:M37)</f>
        <v/>
      </c>
      <c r="N40" s="73" t="n"/>
      <c r="O40" s="247">
        <f>SUM(O8:O37)</f>
        <v/>
      </c>
      <c r="P40" s="248">
        <f>MAX(P9:P37)</f>
        <v/>
      </c>
      <c r="Q40" s="73" t="n"/>
      <c r="R40" s="247">
        <f>SUM(R8:R37)</f>
        <v/>
      </c>
      <c r="S40" s="248">
        <f>MAX(S9:S37)</f>
        <v/>
      </c>
      <c r="T40" s="73" t="n"/>
      <c r="U40" s="247">
        <f>SUM(U8:U37)</f>
        <v/>
      </c>
      <c r="V40" s="248">
        <f>MAX(V9:V37)</f>
        <v/>
      </c>
      <c r="W40" s="75" t="n"/>
      <c r="X40" s="248" t="n"/>
      <c r="Y40" s="249" t="n"/>
      <c r="Z40" s="12" t="n"/>
    </row>
    <row r="41" ht="16.5" customFormat="1" customHeight="1" s="21" thickBot="1">
      <c r="A41" s="250" t="inlineStr">
        <is>
          <t>전류 MAX</t>
        </is>
      </c>
      <c r="B41" s="251" t="n"/>
      <c r="C41" s="252">
        <f>C40/31</f>
        <v/>
      </c>
      <c r="D41" s="253">
        <f>MAX(D8:D39)</f>
        <v/>
      </c>
      <c r="E41" s="77" t="n"/>
      <c r="F41" s="252">
        <f>F40/31</f>
        <v/>
      </c>
      <c r="G41" s="253">
        <f>MAX(G8:G39)</f>
        <v/>
      </c>
      <c r="H41" s="77" t="n"/>
      <c r="I41" s="252">
        <f>I40/31</f>
        <v/>
      </c>
      <c r="J41" s="253">
        <f>MAX(J8:J39)</f>
        <v/>
      </c>
      <c r="K41" s="77" t="n"/>
      <c r="L41" s="252">
        <f>L40/31</f>
        <v/>
      </c>
      <c r="M41" s="253">
        <f>MAX(M8:M39)</f>
        <v/>
      </c>
      <c r="N41" s="77" t="n"/>
      <c r="O41" s="252">
        <f>O40/31</f>
        <v/>
      </c>
      <c r="P41" s="253">
        <f>MAX(P8:P39)</f>
        <v/>
      </c>
      <c r="Q41" s="77" t="n"/>
      <c r="R41" s="252">
        <f>R40/31</f>
        <v/>
      </c>
      <c r="S41" s="253">
        <f>MAX(S8:S39)</f>
        <v/>
      </c>
      <c r="T41" s="77" t="n"/>
      <c r="U41" s="252">
        <f>U40/31</f>
        <v/>
      </c>
      <c r="V41" s="253">
        <f>MAX(V8:V39)</f>
        <v/>
      </c>
      <c r="W41" s="79" t="n"/>
      <c r="X41" s="254" t="n"/>
      <c r="Y41" s="255" t="n"/>
      <c r="Z41" s="81" t="n"/>
    </row>
    <row r="42" ht="19.5" customFormat="1" customHeight="1" s="21">
      <c r="A42" s="14" t="n"/>
      <c r="B42" s="14" t="n"/>
      <c r="C42" s="256" t="n"/>
      <c r="D42" s="257" t="n"/>
      <c r="E42" s="84" t="n"/>
      <c r="F42" s="256" t="n"/>
      <c r="G42" s="257" t="n"/>
      <c r="H42" s="84" t="n"/>
      <c r="I42" s="256" t="n"/>
      <c r="J42" s="257" t="n"/>
      <c r="K42" s="84" t="n"/>
      <c r="L42" s="256" t="n"/>
      <c r="M42" s="257" t="n"/>
      <c r="N42" s="84" t="n"/>
      <c r="O42" s="256" t="n"/>
      <c r="P42" s="257" t="n"/>
      <c r="Q42" s="84" t="n"/>
      <c r="R42" s="256" t="n"/>
      <c r="S42" s="257" t="n"/>
      <c r="T42" s="84" t="n"/>
      <c r="U42" s="256" t="n"/>
      <c r="V42" s="257" t="n"/>
      <c r="W42" s="84" t="n"/>
      <c r="X42" s="256" t="n"/>
      <c r="Y42" s="257" t="n"/>
      <c r="Z42" s="256" t="n"/>
      <c r="AA42" s="258" t="n"/>
    </row>
    <row r="43" ht="21.75" customFormat="1" customHeight="1" s="8" thickBot="1">
      <c r="A43" s="86" t="n"/>
      <c r="B43" s="85" t="n"/>
      <c r="C43" s="257" t="n"/>
      <c r="D43" s="257" t="n"/>
      <c r="E43" s="85" t="inlineStr">
        <is>
          <t xml:space="preserve"> </t>
        </is>
      </c>
      <c r="F43" s="257" t="n"/>
      <c r="G43" s="257" t="n"/>
      <c r="H43" s="85" t="inlineStr">
        <is>
          <t xml:space="preserve"> </t>
        </is>
      </c>
      <c r="I43" s="257" t="n"/>
      <c r="J43" s="257" t="n"/>
      <c r="K43" s="85" t="inlineStr">
        <is>
          <t xml:space="preserve"> </t>
        </is>
      </c>
      <c r="L43" s="257" t="n"/>
      <c r="M43" s="257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20" t="n"/>
    </row>
    <row r="44" ht="21" customFormat="1" customHeight="1" s="10">
      <c r="A44" s="197" t="inlineStr">
        <is>
          <t>구 분</t>
        </is>
      </c>
      <c r="B44" s="52" t="inlineStr">
        <is>
          <t>NO2 INCOMMING</t>
        </is>
      </c>
      <c r="C44" s="227" t="n"/>
      <c r="D44" s="227" t="n"/>
      <c r="E44" s="52" t="inlineStr">
        <is>
          <t>51.52 S/S</t>
        </is>
      </c>
      <c r="F44" s="227" t="n"/>
      <c r="G44" s="227" t="n"/>
      <c r="H44" s="52" t="inlineStr">
        <is>
          <t>7,8 S/S</t>
        </is>
      </c>
      <c r="I44" s="227" t="n"/>
      <c r="J44" s="230" t="n"/>
      <c r="K44" s="89" t="inlineStr">
        <is>
          <t>53 S/S</t>
        </is>
      </c>
      <c r="L44" s="259" t="n"/>
      <c r="M44" s="229" t="n"/>
      <c r="N44" s="52" t="inlineStr">
        <is>
          <t>웰빙마트</t>
        </is>
      </c>
      <c r="O44" s="227" t="n"/>
      <c r="P44" s="230" t="n"/>
      <c r="Q44" s="52" t="inlineStr">
        <is>
          <t>주민자치센터</t>
        </is>
      </c>
      <c r="R44" s="227" t="n"/>
      <c r="S44" s="230" t="n"/>
      <c r="T44" s="52" t="inlineStr">
        <is>
          <t>57,60 S/S</t>
        </is>
      </c>
      <c r="U44" s="227" t="n"/>
      <c r="V44" s="230" t="n"/>
      <c r="W44" s="52" t="inlineStr">
        <is>
          <t>휴먼센터</t>
        </is>
      </c>
      <c r="X44" s="227" t="n"/>
      <c r="Y44" s="227" t="n"/>
      <c r="Z44" s="227" t="n"/>
      <c r="AA44" s="260" t="n"/>
    </row>
    <row r="45" ht="21" customFormat="1" customHeight="1" s="12">
      <c r="A45" s="232" t="n"/>
      <c r="B45" s="57" t="inlineStr">
        <is>
          <t>적산량×4800</t>
        </is>
      </c>
      <c r="C45" s="233" t="n"/>
      <c r="D45" s="233" t="n"/>
      <c r="E45" s="57" t="inlineStr">
        <is>
          <t>적산량×2400</t>
        </is>
      </c>
      <c r="F45" s="233" t="n"/>
      <c r="G45" s="233" t="n"/>
      <c r="H45" s="57" t="inlineStr">
        <is>
          <t>적산량×1200</t>
        </is>
      </c>
      <c r="I45" s="233" t="n"/>
      <c r="J45" s="234" t="n"/>
      <c r="K45" s="57" t="inlineStr">
        <is>
          <t>적산량×2400</t>
        </is>
      </c>
      <c r="L45" s="233" t="n"/>
      <c r="M45" s="234" t="n"/>
      <c r="N45" s="57" t="inlineStr">
        <is>
          <t>적산량×1200</t>
        </is>
      </c>
      <c r="O45" s="233" t="n"/>
      <c r="P45" s="234" t="n"/>
      <c r="Q45" s="57" t="inlineStr">
        <is>
          <t>적산량×2400</t>
        </is>
      </c>
      <c r="R45" s="233" t="n"/>
      <c r="S45" s="234" t="n"/>
      <c r="T45" s="57" t="inlineStr">
        <is>
          <t>적산량×1200</t>
        </is>
      </c>
      <c r="U45" s="233" t="n"/>
      <c r="V45" s="234" t="n"/>
      <c r="W45" s="57" t="inlineStr">
        <is>
          <t>적산량×1200</t>
        </is>
      </c>
      <c r="X45" s="233" t="n"/>
      <c r="Y45" s="233" t="n"/>
      <c r="Z45" s="233" t="n"/>
      <c r="AA45" s="261" t="n"/>
    </row>
    <row r="46" ht="21" customFormat="1" customHeight="1" s="14" thickBot="1">
      <c r="A46" s="232" t="n"/>
      <c r="B46" s="61" t="inlineStr">
        <is>
          <t>지침(KW)</t>
        </is>
      </c>
      <c r="C46" s="236" t="inlineStr">
        <is>
          <t>사용량(KWH)</t>
        </is>
      </c>
      <c r="D46" s="236" t="inlineStr">
        <is>
          <t>최대(A)</t>
        </is>
      </c>
      <c r="E46" s="61" t="inlineStr">
        <is>
          <t>지침(KW)</t>
        </is>
      </c>
      <c r="F46" s="236" t="inlineStr">
        <is>
          <t>사용량(KWH)</t>
        </is>
      </c>
      <c r="G46" s="236" t="inlineStr">
        <is>
          <t>최대(A)</t>
        </is>
      </c>
      <c r="H46" s="61" t="inlineStr">
        <is>
          <t>지침(KW)</t>
        </is>
      </c>
      <c r="I46" s="236" t="inlineStr">
        <is>
          <t>사용량(KWH)</t>
        </is>
      </c>
      <c r="J46" s="237" t="inlineStr">
        <is>
          <t>최대(A)</t>
        </is>
      </c>
      <c r="K46" s="61" t="inlineStr">
        <is>
          <t>지침(KW)</t>
        </is>
      </c>
      <c r="L46" s="236" t="inlineStr">
        <is>
          <t>사용량(KWH)</t>
        </is>
      </c>
      <c r="M46" s="237" t="inlineStr">
        <is>
          <t>최대(A)</t>
        </is>
      </c>
      <c r="N46" s="61" t="inlineStr">
        <is>
          <t>지침(KW)</t>
        </is>
      </c>
      <c r="O46" s="236" t="inlineStr">
        <is>
          <t>사용량(KWH)</t>
        </is>
      </c>
      <c r="P46" s="237" t="inlineStr">
        <is>
          <t>최대(A)</t>
        </is>
      </c>
      <c r="Q46" s="61" t="inlineStr">
        <is>
          <t>지침(KW)</t>
        </is>
      </c>
      <c r="R46" s="236" t="inlineStr">
        <is>
          <t>사용량(KWH)</t>
        </is>
      </c>
      <c r="S46" s="237" t="inlineStr">
        <is>
          <t>최대(A)</t>
        </is>
      </c>
      <c r="T46" s="61" t="inlineStr">
        <is>
          <t>지침(KW)</t>
        </is>
      </c>
      <c r="U46" s="236" t="inlineStr">
        <is>
          <t>사용량(KWH)</t>
        </is>
      </c>
      <c r="V46" s="237" t="inlineStr">
        <is>
          <t>최대(A)</t>
        </is>
      </c>
      <c r="W46" s="61" t="inlineStr">
        <is>
          <t>지침(KW)</t>
        </is>
      </c>
      <c r="X46" s="236" t="inlineStr">
        <is>
          <t>사용량(KWH)</t>
        </is>
      </c>
      <c r="Y46" s="237" t="inlineStr">
        <is>
          <t>최대(A)</t>
        </is>
      </c>
      <c r="Z46" s="236" t="inlineStr">
        <is>
          <t>사용량(KWH)</t>
        </is>
      </c>
      <c r="AA46" s="262" t="inlineStr">
        <is>
          <t>최대(A)</t>
        </is>
      </c>
    </row>
    <row r="47" ht="15.75" customFormat="1" customHeight="1" s="15" thickTop="1">
      <c r="A47" s="65" t="inlineStr">
        <is>
          <t>전일</t>
        </is>
      </c>
      <c r="B47" s="129" t="n"/>
      <c r="C47" s="240" t="n"/>
      <c r="D47" s="240" t="n"/>
      <c r="E47" s="129" t="n"/>
      <c r="F47" s="240" t="n"/>
      <c r="G47" s="240" t="n"/>
      <c r="H47" s="129" t="n"/>
      <c r="I47" s="240" t="n"/>
      <c r="J47" s="240" t="n"/>
      <c r="K47" s="129" t="n"/>
      <c r="L47" s="240" t="n"/>
      <c r="M47" s="240" t="n"/>
      <c r="N47" s="129" t="n"/>
      <c r="O47" s="240" t="n"/>
      <c r="P47" s="240" t="n"/>
      <c r="Q47" s="129" t="n"/>
      <c r="R47" s="240" t="n"/>
      <c r="S47" s="240" t="n"/>
      <c r="T47" s="129" t="n"/>
      <c r="U47" s="240" t="n"/>
      <c r="V47" s="240" t="n"/>
      <c r="W47" s="129" t="n"/>
      <c r="X47" s="240" t="n"/>
      <c r="Y47" s="240" t="n"/>
      <c r="Z47" s="241" t="n"/>
      <c r="AA47" s="263" t="n"/>
      <c r="AB47" s="8" t="n"/>
      <c r="AC47" s="8" t="n"/>
    </row>
    <row r="48" ht="15.75" customFormat="1" customHeight="1" s="25">
      <c r="A48" s="65" t="inlineStr">
        <is>
          <t>1일</t>
        </is>
      </c>
      <c r="B48" s="66" t="n"/>
      <c r="C48" s="241" t="n"/>
      <c r="D48" s="241" t="n"/>
      <c r="E48" s="66" t="n"/>
      <c r="F48" s="241" t="n"/>
      <c r="G48" s="241" t="n"/>
      <c r="H48" s="66" t="n"/>
      <c r="I48" s="241" t="n"/>
      <c r="J48" s="241" t="n"/>
      <c r="K48" s="66" t="n"/>
      <c r="L48" s="241" t="n"/>
      <c r="M48" s="241" t="n"/>
      <c r="N48" s="66" t="n"/>
      <c r="O48" s="241" t="n"/>
      <c r="P48" s="241" t="n"/>
      <c r="Q48" s="66" t="n"/>
      <c r="R48" s="241" t="n"/>
      <c r="S48" s="241" t="n"/>
      <c r="T48" s="66" t="n"/>
      <c r="U48" s="241" t="n"/>
      <c r="V48" s="241" t="n"/>
      <c r="W48" s="66" t="n"/>
      <c r="X48" s="241" t="n"/>
      <c r="Y48" s="241" t="n"/>
      <c r="Z48" s="264" t="n"/>
      <c r="AA48" s="265" t="n"/>
      <c r="AB48" s="24" t="n"/>
      <c r="AC48" s="24" t="n"/>
    </row>
    <row r="49" ht="15.75" customFormat="1" customHeight="1" s="15">
      <c r="A49" s="65" t="inlineStr">
        <is>
          <t>2일</t>
        </is>
      </c>
      <c r="B49" s="66" t="n"/>
      <c r="C49" s="241" t="n"/>
      <c r="D49" s="241" t="n"/>
      <c r="E49" s="66" t="n"/>
      <c r="F49" s="241" t="n"/>
      <c r="G49" s="241" t="n"/>
      <c r="H49" s="66" t="n"/>
      <c r="I49" s="241" t="n"/>
      <c r="J49" s="241" t="n"/>
      <c r="K49" s="66" t="n"/>
      <c r="L49" s="241" t="n"/>
      <c r="M49" s="241" t="n"/>
      <c r="N49" s="66" t="n"/>
      <c r="O49" s="241" t="n"/>
      <c r="P49" s="241" t="n"/>
      <c r="Q49" s="66" t="n"/>
      <c r="R49" s="241" t="n"/>
      <c r="S49" s="241" t="n"/>
      <c r="T49" s="66" t="n"/>
      <c r="U49" s="241" t="n"/>
      <c r="V49" s="241" t="n"/>
      <c r="W49" s="66" t="n"/>
      <c r="X49" s="241" t="n"/>
      <c r="Y49" s="241" t="n"/>
      <c r="Z49" s="264" t="n"/>
      <c r="AA49" s="265" t="n"/>
      <c r="AB49" s="8" t="n"/>
      <c r="AC49" s="8" t="n"/>
    </row>
    <row r="50" ht="15.75" customFormat="1" customHeight="1" s="15">
      <c r="A50" s="65" t="inlineStr">
        <is>
          <t>3일</t>
        </is>
      </c>
      <c r="B50" s="66" t="n"/>
      <c r="C50" s="241" t="n"/>
      <c r="D50" s="241" t="n"/>
      <c r="E50" s="66" t="n"/>
      <c r="F50" s="241" t="n"/>
      <c r="G50" s="241" t="n"/>
      <c r="H50" s="66" t="n"/>
      <c r="I50" s="241" t="n"/>
      <c r="J50" s="241" t="n"/>
      <c r="K50" s="66" t="n"/>
      <c r="L50" s="241" t="n"/>
      <c r="M50" s="241" t="n"/>
      <c r="N50" s="66" t="n"/>
      <c r="O50" s="241" t="n"/>
      <c r="P50" s="241" t="n"/>
      <c r="Q50" s="66" t="n"/>
      <c r="R50" s="241" t="n"/>
      <c r="S50" s="241" t="n"/>
      <c r="T50" s="66" t="n"/>
      <c r="U50" s="241" t="n"/>
      <c r="V50" s="241" t="n"/>
      <c r="W50" s="66" t="n"/>
      <c r="X50" s="241" t="n"/>
      <c r="Y50" s="241" t="n"/>
      <c r="Z50" s="264" t="n"/>
      <c r="AA50" s="265" t="n"/>
      <c r="AB50" s="8" t="n"/>
      <c r="AC50" s="8" t="n"/>
    </row>
    <row r="51" ht="15.75" customFormat="1" customHeight="1" s="15">
      <c r="A51" s="65" t="inlineStr">
        <is>
          <t>4일</t>
        </is>
      </c>
      <c r="B51" s="66" t="n"/>
      <c r="C51" s="241" t="n"/>
      <c r="D51" s="241" t="n"/>
      <c r="E51" s="66" t="n"/>
      <c r="F51" s="241" t="n"/>
      <c r="G51" s="241" t="n"/>
      <c r="H51" s="66" t="n"/>
      <c r="I51" s="241" t="n"/>
      <c r="J51" s="241" t="n"/>
      <c r="K51" s="66" t="n"/>
      <c r="L51" s="241" t="n"/>
      <c r="M51" s="241" t="n"/>
      <c r="N51" s="66" t="n"/>
      <c r="O51" s="241" t="n"/>
      <c r="P51" s="241" t="n"/>
      <c r="Q51" s="66" t="n"/>
      <c r="R51" s="241" t="n"/>
      <c r="S51" s="241" t="n"/>
      <c r="T51" s="66" t="n"/>
      <c r="U51" s="241" t="n"/>
      <c r="V51" s="241" t="n"/>
      <c r="W51" s="66" t="n"/>
      <c r="X51" s="241" t="n"/>
      <c r="Y51" s="241" t="n"/>
      <c r="Z51" s="264" t="n"/>
      <c r="AA51" s="265" t="n"/>
      <c r="AB51" s="8" t="n"/>
      <c r="AC51" s="8" t="n"/>
    </row>
    <row r="52" ht="15.75" customFormat="1" customHeight="1" s="15">
      <c r="A52" s="65" t="inlineStr">
        <is>
          <t>5일</t>
        </is>
      </c>
      <c r="B52" s="66" t="n"/>
      <c r="C52" s="241" t="n"/>
      <c r="D52" s="241" t="n"/>
      <c r="E52" s="66" t="n"/>
      <c r="F52" s="241" t="n"/>
      <c r="G52" s="241" t="n"/>
      <c r="H52" s="66" t="n"/>
      <c r="I52" s="241" t="n"/>
      <c r="J52" s="241" t="n"/>
      <c r="K52" s="66" t="n"/>
      <c r="L52" s="241" t="n"/>
      <c r="M52" s="241" t="n"/>
      <c r="N52" s="66" t="n"/>
      <c r="O52" s="241" t="n"/>
      <c r="P52" s="241" t="n"/>
      <c r="Q52" s="66" t="n"/>
      <c r="R52" s="241" t="n"/>
      <c r="S52" s="241" t="n"/>
      <c r="T52" s="66" t="n"/>
      <c r="U52" s="241" t="n"/>
      <c r="V52" s="241" t="n"/>
      <c r="W52" s="66" t="n"/>
      <c r="X52" s="241" t="n"/>
      <c r="Y52" s="241" t="n"/>
      <c r="Z52" s="264" t="n"/>
      <c r="AA52" s="265" t="n"/>
      <c r="AB52" s="8" t="n"/>
      <c r="AC52" s="8" t="n"/>
    </row>
    <row r="53" ht="15.75" customFormat="1" customHeight="1" s="15">
      <c r="A53" s="65" t="inlineStr">
        <is>
          <t>6일</t>
        </is>
      </c>
      <c r="B53" s="66" t="n"/>
      <c r="C53" s="241" t="n"/>
      <c r="D53" s="241" t="n"/>
      <c r="E53" s="66" t="n"/>
      <c r="F53" s="241" t="n"/>
      <c r="G53" s="241" t="n"/>
      <c r="H53" s="66" t="n"/>
      <c r="I53" s="241" t="n"/>
      <c r="J53" s="241" t="n"/>
      <c r="K53" s="66" t="n"/>
      <c r="L53" s="241" t="n"/>
      <c r="M53" s="241" t="n"/>
      <c r="N53" s="66" t="n"/>
      <c r="O53" s="241" t="n"/>
      <c r="P53" s="241" t="n"/>
      <c r="Q53" s="66" t="n"/>
      <c r="R53" s="241" t="n"/>
      <c r="S53" s="241" t="n"/>
      <c r="T53" s="66" t="n"/>
      <c r="U53" s="241" t="n"/>
      <c r="V53" s="241" t="n"/>
      <c r="W53" s="66" t="n"/>
      <c r="X53" s="241" t="n"/>
      <c r="Y53" s="241" t="n"/>
      <c r="Z53" s="264" t="n"/>
      <c r="AA53" s="265" t="n"/>
      <c r="AB53" s="8" t="n"/>
      <c r="AC53" s="8" t="n"/>
    </row>
    <row r="54" ht="15.75" customFormat="1" customHeight="1" s="15">
      <c r="A54" s="65" t="inlineStr">
        <is>
          <t>7일</t>
        </is>
      </c>
      <c r="B54" s="66" t="n"/>
      <c r="C54" s="241" t="n"/>
      <c r="D54" s="241" t="n"/>
      <c r="E54" s="66" t="n"/>
      <c r="F54" s="241" t="n"/>
      <c r="G54" s="241" t="n"/>
      <c r="H54" s="66" t="n"/>
      <c r="I54" s="241" t="n"/>
      <c r="J54" s="241" t="n"/>
      <c r="K54" s="66" t="n"/>
      <c r="L54" s="241" t="n"/>
      <c r="M54" s="241" t="n"/>
      <c r="N54" s="66" t="n"/>
      <c r="O54" s="241" t="n"/>
      <c r="P54" s="241" t="n"/>
      <c r="Q54" s="66" t="n"/>
      <c r="R54" s="241" t="n"/>
      <c r="S54" s="241" t="n"/>
      <c r="T54" s="66" t="n"/>
      <c r="U54" s="241" t="n"/>
      <c r="V54" s="241" t="n"/>
      <c r="W54" s="66" t="n"/>
      <c r="X54" s="241" t="n"/>
      <c r="Y54" s="241" t="n"/>
      <c r="Z54" s="264" t="n"/>
      <c r="AA54" s="265" t="n"/>
      <c r="AB54" s="8" t="n"/>
      <c r="AC54" s="8" t="n"/>
    </row>
    <row r="55" ht="15.75" customFormat="1" customHeight="1" s="15">
      <c r="A55" s="65" t="inlineStr">
        <is>
          <t>8일</t>
        </is>
      </c>
      <c r="B55" s="66" t="n"/>
      <c r="C55" s="241" t="n"/>
      <c r="D55" s="241" t="n"/>
      <c r="E55" s="66" t="n"/>
      <c r="F55" s="241" t="n"/>
      <c r="G55" s="241" t="n"/>
      <c r="H55" s="66" t="n"/>
      <c r="I55" s="241" t="n"/>
      <c r="J55" s="241" t="n"/>
      <c r="K55" s="66" t="n"/>
      <c r="L55" s="241" t="n"/>
      <c r="M55" s="241" t="n"/>
      <c r="N55" s="66" t="n"/>
      <c r="O55" s="241" t="n"/>
      <c r="P55" s="241" t="n"/>
      <c r="Q55" s="66" t="n"/>
      <c r="R55" s="241" t="n"/>
      <c r="S55" s="241" t="n"/>
      <c r="T55" s="66" t="n"/>
      <c r="U55" s="241" t="n"/>
      <c r="V55" s="241" t="n"/>
      <c r="W55" s="66" t="n"/>
      <c r="X55" s="241" t="n"/>
      <c r="Y55" s="241" t="n"/>
      <c r="Z55" s="264" t="n"/>
      <c r="AA55" s="265" t="n"/>
      <c r="AB55" s="8" t="n"/>
      <c r="AC55" s="8" t="n"/>
    </row>
    <row r="56" ht="15.75" customFormat="1" customHeight="1" s="15">
      <c r="A56" s="65" t="inlineStr">
        <is>
          <t>9일</t>
        </is>
      </c>
      <c r="B56" s="66" t="n"/>
      <c r="C56" s="241" t="n"/>
      <c r="D56" s="241" t="n"/>
      <c r="E56" s="66" t="n"/>
      <c r="F56" s="241" t="n"/>
      <c r="G56" s="241" t="n"/>
      <c r="H56" s="66" t="n"/>
      <c r="I56" s="241" t="n"/>
      <c r="J56" s="241" t="n"/>
      <c r="K56" s="66" t="n"/>
      <c r="L56" s="241" t="n"/>
      <c r="M56" s="241" t="n"/>
      <c r="N56" s="66" t="n"/>
      <c r="O56" s="241" t="n"/>
      <c r="P56" s="241" t="n"/>
      <c r="Q56" s="66" t="n"/>
      <c r="R56" s="241" t="n"/>
      <c r="S56" s="241" t="n"/>
      <c r="T56" s="66" t="n"/>
      <c r="U56" s="241" t="n"/>
      <c r="V56" s="241" t="n"/>
      <c r="W56" s="66" t="n"/>
      <c r="X56" s="241" t="n"/>
      <c r="Y56" s="241" t="n"/>
      <c r="Z56" s="264" t="n"/>
      <c r="AA56" s="265" t="n"/>
      <c r="AB56" s="8" t="n"/>
      <c r="AC56" s="8" t="n"/>
    </row>
    <row r="57" ht="15.75" customFormat="1" customHeight="1" s="15">
      <c r="A57" s="65" t="inlineStr">
        <is>
          <t>10일</t>
        </is>
      </c>
      <c r="B57" s="66" t="n"/>
      <c r="C57" s="241" t="n"/>
      <c r="D57" s="241" t="n"/>
      <c r="E57" s="66" t="n"/>
      <c r="F57" s="241" t="n"/>
      <c r="G57" s="241" t="n"/>
      <c r="H57" s="66" t="n"/>
      <c r="I57" s="241" t="n"/>
      <c r="J57" s="241" t="n"/>
      <c r="K57" s="66" t="n"/>
      <c r="L57" s="241" t="n"/>
      <c r="M57" s="241" t="n"/>
      <c r="N57" s="66" t="n"/>
      <c r="O57" s="241" t="n"/>
      <c r="P57" s="241" t="n"/>
      <c r="Q57" s="66" t="n"/>
      <c r="R57" s="241" t="n"/>
      <c r="S57" s="241" t="n"/>
      <c r="T57" s="66" t="n"/>
      <c r="U57" s="241" t="n"/>
      <c r="V57" s="241" t="n"/>
      <c r="W57" s="66" t="n"/>
      <c r="X57" s="241" t="n"/>
      <c r="Y57" s="241" t="n"/>
      <c r="Z57" s="264" t="n"/>
      <c r="AA57" s="265" t="n"/>
      <c r="AB57" s="8" t="n"/>
      <c r="AC57" s="8" t="n"/>
    </row>
    <row r="58" ht="15.75" customFormat="1" customHeight="1" s="15">
      <c r="A58" s="65" t="inlineStr">
        <is>
          <t>11일</t>
        </is>
      </c>
      <c r="B58" s="66" t="n"/>
      <c r="C58" s="241" t="n"/>
      <c r="D58" s="241" t="n"/>
      <c r="E58" s="66" t="n"/>
      <c r="F58" s="241" t="n"/>
      <c r="G58" s="241" t="n"/>
      <c r="H58" s="66" t="n"/>
      <c r="I58" s="241" t="n"/>
      <c r="J58" s="241" t="n"/>
      <c r="K58" s="66" t="n"/>
      <c r="L58" s="241" t="n"/>
      <c r="M58" s="241" t="n"/>
      <c r="N58" s="66" t="n"/>
      <c r="O58" s="241" t="n"/>
      <c r="P58" s="241" t="n"/>
      <c r="Q58" s="66" t="n"/>
      <c r="R58" s="241" t="n"/>
      <c r="S58" s="241" t="n"/>
      <c r="T58" s="66" t="n"/>
      <c r="U58" s="241" t="n"/>
      <c r="V58" s="241" t="n"/>
      <c r="W58" s="66" t="n"/>
      <c r="X58" s="241" t="n"/>
      <c r="Y58" s="241" t="n"/>
      <c r="Z58" s="264" t="n"/>
      <c r="AA58" s="265" t="n"/>
      <c r="AB58" s="8" t="n"/>
      <c r="AC58" s="8" t="n"/>
    </row>
    <row r="59" ht="15.75" customFormat="1" customHeight="1" s="15">
      <c r="A59" s="65" t="inlineStr">
        <is>
          <t>12일</t>
        </is>
      </c>
      <c r="B59" s="66" t="n"/>
      <c r="C59" s="241" t="n"/>
      <c r="D59" s="241" t="n"/>
      <c r="E59" s="66" t="n"/>
      <c r="F59" s="241" t="n"/>
      <c r="G59" s="241" t="n"/>
      <c r="H59" s="66" t="n"/>
      <c r="I59" s="241" t="n"/>
      <c r="J59" s="241" t="n"/>
      <c r="K59" s="66" t="n"/>
      <c r="L59" s="241" t="n"/>
      <c r="M59" s="241" t="n"/>
      <c r="N59" s="66" t="n"/>
      <c r="O59" s="241" t="n"/>
      <c r="P59" s="241" t="n"/>
      <c r="Q59" s="66" t="n"/>
      <c r="R59" s="241" t="n"/>
      <c r="S59" s="241" t="n"/>
      <c r="T59" s="66" t="n"/>
      <c r="U59" s="241" t="n"/>
      <c r="V59" s="241" t="n"/>
      <c r="W59" s="66" t="n"/>
      <c r="X59" s="241" t="n"/>
      <c r="Y59" s="241" t="n"/>
      <c r="Z59" s="264" t="n"/>
      <c r="AA59" s="265" t="n"/>
      <c r="AB59" s="8" t="n"/>
      <c r="AC59" s="8" t="n"/>
    </row>
    <row r="60" ht="15.75" customFormat="1" customHeight="1" s="15">
      <c r="A60" s="65" t="inlineStr">
        <is>
          <t>13일</t>
        </is>
      </c>
      <c r="B60" s="66" t="n"/>
      <c r="C60" s="241" t="n"/>
      <c r="D60" s="241" t="n"/>
      <c r="E60" s="66" t="n"/>
      <c r="F60" s="241" t="n"/>
      <c r="G60" s="241" t="n"/>
      <c r="H60" s="66" t="n"/>
      <c r="I60" s="241" t="n"/>
      <c r="J60" s="241" t="n"/>
      <c r="K60" s="66" t="n"/>
      <c r="L60" s="241" t="n"/>
      <c r="M60" s="241" t="n"/>
      <c r="N60" s="66" t="n"/>
      <c r="O60" s="241" t="n"/>
      <c r="P60" s="241" t="n"/>
      <c r="Q60" s="66" t="n"/>
      <c r="R60" s="241" t="n"/>
      <c r="S60" s="241" t="n"/>
      <c r="T60" s="66" t="n"/>
      <c r="U60" s="241" t="n"/>
      <c r="V60" s="241" t="n"/>
      <c r="W60" s="66" t="n"/>
      <c r="X60" s="241" t="n"/>
      <c r="Y60" s="241" t="n"/>
      <c r="Z60" s="264" t="n"/>
      <c r="AA60" s="265" t="n"/>
      <c r="AB60" s="8" t="n"/>
      <c r="AC60" s="8" t="n"/>
    </row>
    <row r="61" ht="15.75" customFormat="1" customHeight="1" s="15">
      <c r="A61" s="65" t="inlineStr">
        <is>
          <t>14일</t>
        </is>
      </c>
      <c r="B61" s="66" t="n"/>
      <c r="C61" s="241" t="n"/>
      <c r="D61" s="241" t="n"/>
      <c r="E61" s="66" t="n"/>
      <c r="F61" s="241" t="n"/>
      <c r="G61" s="241" t="n"/>
      <c r="H61" s="66" t="n"/>
      <c r="I61" s="241" t="n"/>
      <c r="J61" s="241" t="n"/>
      <c r="K61" s="66" t="n"/>
      <c r="L61" s="241" t="n"/>
      <c r="M61" s="241" t="n"/>
      <c r="N61" s="66" t="n"/>
      <c r="O61" s="241" t="n"/>
      <c r="P61" s="241" t="n"/>
      <c r="Q61" s="66" t="n"/>
      <c r="R61" s="241" t="n"/>
      <c r="S61" s="241" t="n"/>
      <c r="T61" s="66" t="n"/>
      <c r="U61" s="241" t="n"/>
      <c r="V61" s="241" t="n"/>
      <c r="W61" s="66" t="n"/>
      <c r="X61" s="241" t="n"/>
      <c r="Y61" s="241" t="n"/>
      <c r="Z61" s="264" t="n"/>
      <c r="AA61" s="265" t="n"/>
      <c r="AB61" s="8" t="n"/>
      <c r="AC61" s="8" t="n"/>
    </row>
    <row r="62" ht="15.75" customFormat="1" customHeight="1" s="15">
      <c r="A62" s="65" t="inlineStr">
        <is>
          <t>15일</t>
        </is>
      </c>
      <c r="B62" s="66" t="n"/>
      <c r="C62" s="241" t="n"/>
      <c r="D62" s="241" t="n"/>
      <c r="E62" s="66" t="n"/>
      <c r="F62" s="241" t="n"/>
      <c r="G62" s="241" t="n"/>
      <c r="H62" s="66" t="n"/>
      <c r="I62" s="241" t="n"/>
      <c r="J62" s="241" t="n"/>
      <c r="K62" s="66" t="n"/>
      <c r="L62" s="241" t="n"/>
      <c r="M62" s="241" t="n"/>
      <c r="N62" s="66" t="n"/>
      <c r="O62" s="241" t="n"/>
      <c r="P62" s="241" t="n"/>
      <c r="Q62" s="66" t="n"/>
      <c r="R62" s="241" t="n"/>
      <c r="S62" s="241" t="n"/>
      <c r="T62" s="66" t="n"/>
      <c r="U62" s="241" t="n"/>
      <c r="V62" s="241" t="n"/>
      <c r="W62" s="66" t="n"/>
      <c r="X62" s="241" t="n"/>
      <c r="Y62" s="241" t="n"/>
      <c r="Z62" s="264" t="n"/>
      <c r="AA62" s="265" t="n"/>
      <c r="AB62" s="8" t="n"/>
      <c r="AC62" s="8" t="n"/>
    </row>
    <row r="63" ht="15.75" customFormat="1" customHeight="1" s="15">
      <c r="A63" s="65" t="inlineStr">
        <is>
          <t>16일</t>
        </is>
      </c>
      <c r="B63" s="66" t="n"/>
      <c r="C63" s="241" t="n"/>
      <c r="D63" s="241" t="n"/>
      <c r="E63" s="66" t="n"/>
      <c r="F63" s="241" t="n"/>
      <c r="G63" s="241" t="n"/>
      <c r="H63" s="66" t="n"/>
      <c r="I63" s="241" t="n"/>
      <c r="J63" s="241" t="n"/>
      <c r="K63" s="66" t="n"/>
      <c r="L63" s="241" t="n"/>
      <c r="M63" s="241" t="n"/>
      <c r="N63" s="66" t="n"/>
      <c r="O63" s="241" t="n"/>
      <c r="P63" s="241" t="n"/>
      <c r="Q63" s="66" t="n"/>
      <c r="R63" s="241" t="n"/>
      <c r="S63" s="241" t="n"/>
      <c r="T63" s="66" t="n"/>
      <c r="U63" s="241" t="n"/>
      <c r="V63" s="241" t="n"/>
      <c r="W63" s="66" t="n"/>
      <c r="X63" s="241" t="n"/>
      <c r="Y63" s="241" t="n"/>
      <c r="Z63" s="264" t="n"/>
      <c r="AA63" s="265" t="n"/>
      <c r="AB63" s="8" t="n"/>
      <c r="AC63" s="8" t="n"/>
    </row>
    <row r="64" ht="15.75" customFormat="1" customHeight="1" s="15">
      <c r="A64" s="65" t="inlineStr">
        <is>
          <t>17일</t>
        </is>
      </c>
      <c r="B64" s="66" t="n"/>
      <c r="C64" s="241" t="n"/>
      <c r="D64" s="241" t="n"/>
      <c r="E64" s="66" t="n"/>
      <c r="F64" s="241" t="n"/>
      <c r="G64" s="241" t="n"/>
      <c r="H64" s="66" t="n"/>
      <c r="I64" s="241" t="n"/>
      <c r="J64" s="241" t="n"/>
      <c r="K64" s="66" t="n"/>
      <c r="L64" s="241" t="n"/>
      <c r="M64" s="241" t="n"/>
      <c r="N64" s="66" t="n"/>
      <c r="O64" s="241" t="n"/>
      <c r="P64" s="241" t="n"/>
      <c r="Q64" s="66" t="n"/>
      <c r="R64" s="241" t="n"/>
      <c r="S64" s="241" t="n"/>
      <c r="T64" s="66" t="n"/>
      <c r="U64" s="241" t="n"/>
      <c r="V64" s="241" t="n"/>
      <c r="W64" s="66" t="n"/>
      <c r="X64" s="241" t="n"/>
      <c r="Y64" s="241" t="n"/>
      <c r="Z64" s="264" t="n"/>
      <c r="AA64" s="265" t="n"/>
      <c r="AB64" s="8" t="n"/>
      <c r="AC64" s="8" t="n"/>
    </row>
    <row r="65" ht="15.75" customFormat="1" customHeight="1" s="15">
      <c r="A65" s="65" t="inlineStr">
        <is>
          <t>18일</t>
        </is>
      </c>
      <c r="B65" s="66" t="n"/>
      <c r="C65" s="241" t="n"/>
      <c r="D65" s="241" t="n"/>
      <c r="E65" s="66" t="n"/>
      <c r="F65" s="241" t="n"/>
      <c r="G65" s="241" t="n"/>
      <c r="H65" s="66" t="n"/>
      <c r="I65" s="241" t="n"/>
      <c r="J65" s="241" t="n"/>
      <c r="K65" s="66" t="n"/>
      <c r="L65" s="241" t="n"/>
      <c r="M65" s="241" t="n"/>
      <c r="N65" s="66" t="n"/>
      <c r="O65" s="241" t="n"/>
      <c r="P65" s="241" t="n"/>
      <c r="Q65" s="66" t="n"/>
      <c r="R65" s="241" t="n"/>
      <c r="S65" s="241" t="n"/>
      <c r="T65" s="66" t="n"/>
      <c r="U65" s="241" t="n"/>
      <c r="V65" s="241" t="n"/>
      <c r="W65" s="66" t="n"/>
      <c r="X65" s="241" t="n"/>
      <c r="Y65" s="241" t="n"/>
      <c r="Z65" s="264" t="n"/>
      <c r="AA65" s="265" t="n"/>
      <c r="AB65" s="8" t="n"/>
      <c r="AC65" s="8" t="n"/>
    </row>
    <row r="66" ht="15.75" customFormat="1" customHeight="1" s="15">
      <c r="A66" s="65" t="inlineStr">
        <is>
          <t>19일</t>
        </is>
      </c>
      <c r="B66" s="66" t="n"/>
      <c r="C66" s="241" t="n"/>
      <c r="D66" s="241" t="n"/>
      <c r="E66" s="66" t="n"/>
      <c r="F66" s="241" t="n"/>
      <c r="G66" s="241" t="n"/>
      <c r="H66" s="66" t="n"/>
      <c r="I66" s="241" t="n"/>
      <c r="J66" s="241" t="n"/>
      <c r="K66" s="66" t="n"/>
      <c r="L66" s="241" t="n"/>
      <c r="M66" s="241" t="n"/>
      <c r="N66" s="66" t="n"/>
      <c r="O66" s="241" t="n"/>
      <c r="P66" s="241" t="n"/>
      <c r="Q66" s="66" t="n"/>
      <c r="R66" s="241" t="n"/>
      <c r="S66" s="241" t="n"/>
      <c r="T66" s="66" t="n"/>
      <c r="U66" s="241" t="n"/>
      <c r="V66" s="241" t="n"/>
      <c r="W66" s="66" t="n"/>
      <c r="X66" s="241" t="n"/>
      <c r="Y66" s="241" t="n"/>
      <c r="Z66" s="264" t="n"/>
      <c r="AA66" s="265" t="n"/>
      <c r="AB66" s="8" t="n"/>
      <c r="AC66" s="8" t="n"/>
    </row>
    <row r="67" ht="15.75" customFormat="1" customHeight="1" s="15">
      <c r="A67" s="65" t="inlineStr">
        <is>
          <t>20일</t>
        </is>
      </c>
      <c r="B67" s="66" t="n"/>
      <c r="C67" s="241" t="n"/>
      <c r="D67" s="241" t="n"/>
      <c r="E67" s="66" t="n"/>
      <c r="F67" s="241" t="n"/>
      <c r="G67" s="241" t="n"/>
      <c r="H67" s="66" t="n"/>
      <c r="I67" s="241" t="n"/>
      <c r="J67" s="241" t="n"/>
      <c r="K67" s="66" t="n"/>
      <c r="L67" s="241" t="n"/>
      <c r="M67" s="241" t="n"/>
      <c r="N67" s="66" t="n"/>
      <c r="O67" s="241" t="n"/>
      <c r="P67" s="241" t="n"/>
      <c r="Q67" s="66" t="n"/>
      <c r="R67" s="241" t="n"/>
      <c r="S67" s="241" t="n"/>
      <c r="T67" s="66" t="n"/>
      <c r="U67" s="241" t="n"/>
      <c r="V67" s="241" t="n"/>
      <c r="W67" s="66" t="n"/>
      <c r="X67" s="241" t="n"/>
      <c r="Y67" s="241" t="n"/>
      <c r="Z67" s="264" t="n"/>
      <c r="AA67" s="265" t="n"/>
      <c r="AB67" s="8" t="n"/>
      <c r="AC67" s="8" t="n"/>
    </row>
    <row r="68" ht="15.75" customFormat="1" customHeight="1" s="15">
      <c r="A68" s="65" t="inlineStr">
        <is>
          <t>21일</t>
        </is>
      </c>
      <c r="B68" s="66" t="n"/>
      <c r="C68" s="241" t="n"/>
      <c r="D68" s="241" t="n"/>
      <c r="E68" s="66" t="n"/>
      <c r="F68" s="241" t="n"/>
      <c r="G68" s="241" t="n"/>
      <c r="H68" s="66" t="n"/>
      <c r="I68" s="241" t="n"/>
      <c r="J68" s="241" t="n"/>
      <c r="K68" s="66" t="n"/>
      <c r="L68" s="241" t="n"/>
      <c r="M68" s="241" t="n"/>
      <c r="N68" s="66" t="n"/>
      <c r="O68" s="241" t="n"/>
      <c r="P68" s="241" t="n"/>
      <c r="Q68" s="66" t="n"/>
      <c r="R68" s="241" t="n"/>
      <c r="S68" s="241" t="n"/>
      <c r="T68" s="66" t="n"/>
      <c r="U68" s="241" t="n"/>
      <c r="V68" s="241" t="n"/>
      <c r="W68" s="66" t="n"/>
      <c r="X68" s="241" t="n"/>
      <c r="Y68" s="241" t="n"/>
      <c r="Z68" s="264" t="n"/>
      <c r="AA68" s="265" t="n"/>
      <c r="AB68" s="8" t="n"/>
      <c r="AC68" s="8" t="n"/>
    </row>
    <row r="69" ht="15.75" customFormat="1" customHeight="1" s="15">
      <c r="A69" s="65" t="inlineStr">
        <is>
          <t>22일</t>
        </is>
      </c>
      <c r="B69" s="66" t="n"/>
      <c r="C69" s="241" t="n"/>
      <c r="D69" s="241" t="n"/>
      <c r="E69" s="66" t="n"/>
      <c r="F69" s="241" t="n"/>
      <c r="G69" s="241" t="n"/>
      <c r="H69" s="66" t="n"/>
      <c r="I69" s="241" t="n"/>
      <c r="J69" s="241" t="n"/>
      <c r="K69" s="66" t="n"/>
      <c r="L69" s="241" t="n"/>
      <c r="M69" s="241" t="n"/>
      <c r="N69" s="66" t="n"/>
      <c r="O69" s="241" t="n"/>
      <c r="P69" s="241" t="n"/>
      <c r="Q69" s="66" t="n"/>
      <c r="R69" s="241" t="n"/>
      <c r="S69" s="241" t="n"/>
      <c r="T69" s="66" t="n"/>
      <c r="U69" s="241" t="n"/>
      <c r="V69" s="241" t="n"/>
      <c r="W69" s="66" t="n"/>
      <c r="X69" s="241" t="n"/>
      <c r="Y69" s="241" t="n"/>
      <c r="Z69" s="264" t="n"/>
      <c r="AA69" s="265" t="n"/>
      <c r="AB69" s="8" t="n"/>
      <c r="AC69" s="8" t="n"/>
    </row>
    <row r="70" ht="15.75" customFormat="1" customHeight="1" s="15">
      <c r="A70" s="65" t="inlineStr">
        <is>
          <t>23일</t>
        </is>
      </c>
      <c r="B70" s="66" t="n"/>
      <c r="C70" s="241" t="n"/>
      <c r="D70" s="241" t="n"/>
      <c r="E70" s="66" t="n"/>
      <c r="F70" s="241" t="n"/>
      <c r="G70" s="241" t="n"/>
      <c r="H70" s="66" t="n"/>
      <c r="I70" s="241" t="n"/>
      <c r="J70" s="241" t="n"/>
      <c r="K70" s="66" t="n"/>
      <c r="L70" s="241" t="n"/>
      <c r="M70" s="241" t="n"/>
      <c r="N70" s="66" t="n"/>
      <c r="O70" s="241" t="n"/>
      <c r="P70" s="241" t="n"/>
      <c r="Q70" s="66" t="n"/>
      <c r="R70" s="241" t="n"/>
      <c r="S70" s="241" t="n"/>
      <c r="T70" s="66" t="n"/>
      <c r="U70" s="241" t="n"/>
      <c r="V70" s="241" t="n"/>
      <c r="W70" s="66" t="n"/>
      <c r="X70" s="241" t="n"/>
      <c r="Y70" s="241" t="n"/>
      <c r="Z70" s="264" t="n"/>
      <c r="AA70" s="265" t="n"/>
      <c r="AB70" s="8" t="n"/>
      <c r="AC70" s="8" t="n"/>
    </row>
    <row r="71" ht="15.75" customFormat="1" customHeight="1" s="15">
      <c r="A71" s="65" t="inlineStr">
        <is>
          <t>24일</t>
        </is>
      </c>
      <c r="B71" s="66" t="n"/>
      <c r="C71" s="241" t="n"/>
      <c r="D71" s="241" t="n"/>
      <c r="E71" s="66" t="n"/>
      <c r="F71" s="241" t="n"/>
      <c r="G71" s="241" t="n"/>
      <c r="H71" s="66" t="n"/>
      <c r="I71" s="241" t="n"/>
      <c r="J71" s="241" t="n"/>
      <c r="K71" s="66" t="n"/>
      <c r="L71" s="241" t="n"/>
      <c r="M71" s="241" t="n"/>
      <c r="N71" s="66" t="n"/>
      <c r="O71" s="241" t="n"/>
      <c r="P71" s="241" t="n"/>
      <c r="Q71" s="66" t="n"/>
      <c r="R71" s="241" t="n"/>
      <c r="S71" s="241" t="n"/>
      <c r="T71" s="66" t="n"/>
      <c r="U71" s="241" t="n"/>
      <c r="V71" s="241" t="n"/>
      <c r="W71" s="66" t="n"/>
      <c r="X71" s="241" t="n"/>
      <c r="Y71" s="241" t="n"/>
      <c r="Z71" s="264" t="n"/>
      <c r="AA71" s="265" t="n"/>
      <c r="AB71" s="8" t="n"/>
      <c r="AC71" s="8" t="n"/>
    </row>
    <row r="72" ht="15.75" customFormat="1" customHeight="1" s="15">
      <c r="A72" s="65" t="inlineStr">
        <is>
          <t>25일</t>
        </is>
      </c>
      <c r="B72" s="66" t="n"/>
      <c r="C72" s="241" t="n"/>
      <c r="D72" s="241" t="n"/>
      <c r="E72" s="66" t="n"/>
      <c r="F72" s="241" t="n"/>
      <c r="G72" s="241" t="n"/>
      <c r="H72" s="66" t="n"/>
      <c r="I72" s="241" t="n"/>
      <c r="J72" s="241" t="n"/>
      <c r="K72" s="66" t="n"/>
      <c r="L72" s="241" t="n"/>
      <c r="M72" s="241" t="n"/>
      <c r="N72" s="66" t="n"/>
      <c r="O72" s="241" t="n"/>
      <c r="P72" s="241" t="n"/>
      <c r="Q72" s="66" t="n"/>
      <c r="R72" s="241" t="n"/>
      <c r="S72" s="241" t="n"/>
      <c r="T72" s="66" t="n"/>
      <c r="U72" s="241" t="n"/>
      <c r="V72" s="241" t="n"/>
      <c r="W72" s="66" t="n"/>
      <c r="X72" s="241" t="n"/>
      <c r="Y72" s="241" t="n"/>
      <c r="Z72" s="264" t="n"/>
      <c r="AA72" s="265" t="n"/>
      <c r="AB72" s="8" t="n"/>
      <c r="AC72" s="8" t="n"/>
    </row>
    <row r="73" ht="15.75" customFormat="1" customHeight="1" s="15">
      <c r="A73" s="65" t="inlineStr">
        <is>
          <t>26일</t>
        </is>
      </c>
      <c r="B73" s="66" t="n"/>
      <c r="C73" s="241" t="n"/>
      <c r="D73" s="241" t="n"/>
      <c r="E73" s="66" t="n"/>
      <c r="F73" s="241" t="n"/>
      <c r="G73" s="241" t="n"/>
      <c r="H73" s="66" t="n"/>
      <c r="I73" s="241" t="n"/>
      <c r="J73" s="241" t="n"/>
      <c r="K73" s="66" t="n"/>
      <c r="L73" s="241" t="n"/>
      <c r="M73" s="241" t="n"/>
      <c r="N73" s="66" t="n"/>
      <c r="O73" s="241" t="n"/>
      <c r="P73" s="241" t="n"/>
      <c r="Q73" s="66" t="n"/>
      <c r="R73" s="241" t="n"/>
      <c r="S73" s="241" t="n"/>
      <c r="T73" s="66" t="n"/>
      <c r="U73" s="241" t="n"/>
      <c r="V73" s="241" t="n"/>
      <c r="W73" s="66" t="n"/>
      <c r="X73" s="241" t="n"/>
      <c r="Y73" s="241" t="n"/>
      <c r="Z73" s="264" t="n"/>
      <c r="AA73" s="265" t="n"/>
      <c r="AB73" s="8" t="n"/>
      <c r="AC73" s="8" t="n"/>
    </row>
    <row r="74" ht="15.75" customFormat="1" customHeight="1" s="15">
      <c r="A74" s="65" t="inlineStr">
        <is>
          <t>27일</t>
        </is>
      </c>
      <c r="B74" s="66" t="n"/>
      <c r="C74" s="241" t="n"/>
      <c r="D74" s="241" t="n"/>
      <c r="E74" s="66" t="n"/>
      <c r="F74" s="241" t="n"/>
      <c r="G74" s="241" t="n"/>
      <c r="H74" s="66" t="n"/>
      <c r="I74" s="241" t="n"/>
      <c r="J74" s="241" t="n"/>
      <c r="K74" s="66" t="n"/>
      <c r="L74" s="241" t="n"/>
      <c r="M74" s="241" t="n"/>
      <c r="N74" s="66" t="n"/>
      <c r="O74" s="241" t="n"/>
      <c r="P74" s="241" t="n"/>
      <c r="Q74" s="66" t="n"/>
      <c r="R74" s="241" t="n"/>
      <c r="S74" s="241" t="n"/>
      <c r="T74" s="66" t="n"/>
      <c r="U74" s="241" t="n"/>
      <c r="V74" s="241" t="n"/>
      <c r="W74" s="66" t="n"/>
      <c r="X74" s="241" t="n"/>
      <c r="Y74" s="241" t="n"/>
      <c r="Z74" s="264" t="n"/>
      <c r="AA74" s="265" t="n"/>
      <c r="AB74" s="8" t="n"/>
      <c r="AC74" s="8" t="n"/>
    </row>
    <row r="75" ht="15.75" customFormat="1" customHeight="1" s="15">
      <c r="A75" s="65" t="inlineStr">
        <is>
          <t>28일</t>
        </is>
      </c>
      <c r="B75" s="66" t="n"/>
      <c r="C75" s="241" t="n"/>
      <c r="D75" s="241" t="n"/>
      <c r="E75" s="66" t="n"/>
      <c r="F75" s="241" t="n"/>
      <c r="G75" s="241" t="n"/>
      <c r="H75" s="66" t="n"/>
      <c r="I75" s="241" t="n"/>
      <c r="J75" s="241" t="n"/>
      <c r="K75" s="66" t="n"/>
      <c r="L75" s="241" t="n"/>
      <c r="M75" s="241" t="n"/>
      <c r="N75" s="66" t="n"/>
      <c r="O75" s="241" t="n"/>
      <c r="P75" s="241" t="n"/>
      <c r="Q75" s="66" t="n"/>
      <c r="R75" s="241" t="n"/>
      <c r="S75" s="241" t="n"/>
      <c r="T75" s="66" t="n"/>
      <c r="U75" s="241" t="n"/>
      <c r="V75" s="241" t="n"/>
      <c r="W75" s="66" t="n"/>
      <c r="X75" s="241" t="n"/>
      <c r="Y75" s="241" t="n"/>
      <c r="Z75" s="264" t="n"/>
      <c r="AA75" s="265" t="n"/>
    </row>
    <row r="76" ht="15.75" customFormat="1" customHeight="1" s="15">
      <c r="A76" s="65" t="inlineStr">
        <is>
          <t>29일</t>
        </is>
      </c>
      <c r="B76" s="66" t="n"/>
      <c r="C76" s="241" t="n"/>
      <c r="D76" s="241" t="n"/>
      <c r="E76" s="66" t="n"/>
      <c r="F76" s="241" t="n"/>
      <c r="G76" s="241" t="n"/>
      <c r="H76" s="66" t="n"/>
      <c r="I76" s="241" t="n"/>
      <c r="J76" s="241" t="n"/>
      <c r="K76" s="66" t="n"/>
      <c r="L76" s="241" t="n"/>
      <c r="M76" s="241" t="n"/>
      <c r="N76" s="66" t="n"/>
      <c r="O76" s="241" t="n"/>
      <c r="P76" s="241" t="n"/>
      <c r="Q76" s="66" t="n"/>
      <c r="R76" s="241" t="n"/>
      <c r="S76" s="241" t="n"/>
      <c r="T76" s="66" t="n"/>
      <c r="U76" s="241" t="n"/>
      <c r="V76" s="241" t="n"/>
      <c r="W76" s="66" t="n"/>
      <c r="X76" s="241" t="n"/>
      <c r="Y76" s="241" t="n"/>
      <c r="Z76" s="264" t="n"/>
      <c r="AA76" s="265" t="n"/>
    </row>
    <row r="77" ht="15.75" customFormat="1" customHeight="1" s="15">
      <c r="A77" s="65" t="inlineStr">
        <is>
          <t>30일</t>
        </is>
      </c>
      <c r="B77" s="66" t="n"/>
      <c r="C77" s="241" t="n"/>
      <c r="D77" s="241" t="n"/>
      <c r="E77" s="66" t="n"/>
      <c r="F77" s="241" t="n"/>
      <c r="G77" s="241" t="n"/>
      <c r="H77" s="66" t="n"/>
      <c r="I77" s="241" t="n"/>
      <c r="J77" s="241" t="n"/>
      <c r="K77" s="66" t="n"/>
      <c r="L77" s="241" t="n"/>
      <c r="M77" s="241" t="n"/>
      <c r="N77" s="66" t="n"/>
      <c r="O77" s="241" t="n"/>
      <c r="P77" s="241" t="n"/>
      <c r="Q77" s="66" t="n"/>
      <c r="R77" s="241" t="n"/>
      <c r="S77" s="241" t="n"/>
      <c r="T77" s="66" t="n"/>
      <c r="U77" s="241" t="n"/>
      <c r="V77" s="241" t="n"/>
      <c r="W77" s="66" t="n"/>
      <c r="X77" s="241" t="n"/>
      <c r="Y77" s="241" t="n"/>
      <c r="Z77" s="264" t="n"/>
      <c r="AA77" s="265" t="n"/>
    </row>
    <row r="78" ht="15.75" customFormat="1" customHeight="1" s="15" thickBot="1">
      <c r="A78" s="65" t="inlineStr">
        <is>
          <t>31일</t>
        </is>
      </c>
      <c r="B78" s="66" t="n"/>
      <c r="C78" s="241" t="n"/>
      <c r="D78" s="241" t="n"/>
      <c r="E78" s="66" t="n"/>
      <c r="F78" s="241" t="n"/>
      <c r="G78" s="241" t="n"/>
      <c r="H78" s="66" t="n"/>
      <c r="I78" s="241" t="n"/>
      <c r="J78" s="241" t="n"/>
      <c r="K78" s="66" t="n"/>
      <c r="L78" s="241" t="n"/>
      <c r="M78" s="241" t="n"/>
      <c r="N78" s="66" t="n"/>
      <c r="O78" s="241" t="n"/>
      <c r="P78" s="241" t="n"/>
      <c r="Q78" s="66" t="n"/>
      <c r="R78" s="241" t="n"/>
      <c r="S78" s="241" t="n"/>
      <c r="T78" s="66" t="n"/>
      <c r="U78" s="241" t="n"/>
      <c r="V78" s="241" t="n"/>
      <c r="W78" s="66" t="n"/>
      <c r="X78" s="241" t="n"/>
      <c r="Y78" s="241" t="n"/>
      <c r="Z78" s="266" t="n"/>
      <c r="AA78" s="267" t="n"/>
    </row>
    <row r="79" ht="16.5" customFormat="1" customHeight="1" s="20" thickTop="1">
      <c r="A79" s="245" t="inlineStr">
        <is>
          <t>계</t>
        </is>
      </c>
      <c r="B79" s="246" t="n"/>
      <c r="C79" s="247">
        <f>SUM(C48:C76)</f>
        <v/>
      </c>
      <c r="D79" s="248">
        <f>MAX(D48:D76)</f>
        <v/>
      </c>
      <c r="E79" s="75" t="inlineStr">
        <is>
          <t xml:space="preserve"> </t>
        </is>
      </c>
      <c r="F79" s="247">
        <f>SUM(F48:F76)</f>
        <v/>
      </c>
      <c r="G79" s="248">
        <f>MAX(G48:G76)</f>
        <v/>
      </c>
      <c r="H79" s="75" t="inlineStr">
        <is>
          <t xml:space="preserve"> </t>
        </is>
      </c>
      <c r="I79" s="247">
        <f>SUM(I48:I76)</f>
        <v/>
      </c>
      <c r="J79" s="248">
        <f>MAX(J48:J76)</f>
        <v/>
      </c>
      <c r="K79" s="75" t="n"/>
      <c r="L79" s="247">
        <f>SUM(L48:L76)</f>
        <v/>
      </c>
      <c r="M79" s="248">
        <f>MAX(M48:M76)</f>
        <v/>
      </c>
      <c r="N79" s="75" t="n"/>
      <c r="O79" s="247">
        <f>SUM(O48:O76)</f>
        <v/>
      </c>
      <c r="P79" s="248">
        <f>MAX(P48:P76)</f>
        <v/>
      </c>
      <c r="Q79" s="75" t="n"/>
      <c r="R79" s="247">
        <f>SUM(R48:R76)</f>
        <v/>
      </c>
      <c r="S79" s="248">
        <f>MAX(S48:S76)</f>
        <v/>
      </c>
      <c r="T79" s="75" t="n"/>
      <c r="U79" s="247">
        <f>SUM(U48:U76)</f>
        <v/>
      </c>
      <c r="V79" s="248">
        <f>MAX(V48:V76)</f>
        <v/>
      </c>
      <c r="W79" s="75" t="inlineStr">
        <is>
          <t xml:space="preserve"> </t>
        </is>
      </c>
      <c r="X79" s="247">
        <f>SUM(X48:X76)</f>
        <v/>
      </c>
      <c r="Y79" s="248">
        <f>MAX(Y48:Y76)</f>
        <v/>
      </c>
      <c r="Z79" s="247">
        <f>SUM(Z48:Z76)</f>
        <v/>
      </c>
      <c r="AA79" s="268">
        <f>MAX(AA48:AA76)</f>
        <v/>
      </c>
    </row>
    <row r="80" ht="16.5" customFormat="1" customHeight="1" s="20" thickBot="1">
      <c r="A80" s="250" t="inlineStr">
        <is>
          <t>전류 MAX</t>
        </is>
      </c>
      <c r="B80" s="251" t="n"/>
      <c r="C80" s="252">
        <f>C79/31</f>
        <v/>
      </c>
      <c r="D80" s="269">
        <f>MAX(D47:D78)</f>
        <v/>
      </c>
      <c r="E80" s="270" t="inlineStr">
        <is>
          <t xml:space="preserve"> </t>
        </is>
      </c>
      <c r="F80" s="252">
        <f>F79/31</f>
        <v/>
      </c>
      <c r="G80" s="269">
        <f>MAX(G47:G78)</f>
        <v/>
      </c>
      <c r="H80" s="270" t="inlineStr">
        <is>
          <t xml:space="preserve"> </t>
        </is>
      </c>
      <c r="I80" s="252">
        <f>I79/31</f>
        <v/>
      </c>
      <c r="J80" s="269">
        <f>MAX(J47:J78)</f>
        <v/>
      </c>
      <c r="K80" s="270" t="inlineStr">
        <is>
          <t xml:space="preserve"> </t>
        </is>
      </c>
      <c r="L80" s="252">
        <f>L79/31</f>
        <v/>
      </c>
      <c r="M80" s="269">
        <f>MAX(M47:M78)</f>
        <v/>
      </c>
      <c r="N80" s="270" t="inlineStr">
        <is>
          <t xml:space="preserve"> </t>
        </is>
      </c>
      <c r="O80" s="252">
        <f>O79/31</f>
        <v/>
      </c>
      <c r="P80" s="269">
        <f>MAX(P47:P78)</f>
        <v/>
      </c>
      <c r="Q80" s="270" t="inlineStr">
        <is>
          <t xml:space="preserve"> </t>
        </is>
      </c>
      <c r="R80" s="252">
        <f>R79/31</f>
        <v/>
      </c>
      <c r="S80" s="269">
        <f>MAX(S47:S78)</f>
        <v/>
      </c>
      <c r="T80" s="270" t="inlineStr">
        <is>
          <t xml:space="preserve"> </t>
        </is>
      </c>
      <c r="U80" s="252">
        <f>U79/31</f>
        <v/>
      </c>
      <c r="V80" s="269">
        <f>MAX(V47:V78)</f>
        <v/>
      </c>
      <c r="W80" s="270" t="inlineStr">
        <is>
          <t xml:space="preserve"> </t>
        </is>
      </c>
      <c r="X80" s="252">
        <f>X79/31</f>
        <v/>
      </c>
      <c r="Y80" s="269">
        <f>MAX(Y47:Y78)</f>
        <v/>
      </c>
      <c r="Z80" s="252">
        <f>Z79/31</f>
        <v/>
      </c>
      <c r="AA80" s="269">
        <f>MAX(AA47:AA78)</f>
        <v/>
      </c>
    </row>
    <row r="81" ht="16.5" customFormat="1" customHeight="1" s="20">
      <c r="A81" s="14" t="n"/>
      <c r="B81" s="14" t="n"/>
      <c r="C81" s="256" t="n"/>
      <c r="D81" s="257" t="n"/>
      <c r="E81" s="257" t="n"/>
      <c r="F81" s="256" t="n"/>
      <c r="G81" s="257" t="n"/>
      <c r="H81" s="257" t="n"/>
      <c r="I81" s="256" t="n"/>
      <c r="J81" s="257" t="n"/>
      <c r="K81" s="257" t="n"/>
      <c r="L81" s="256" t="n"/>
      <c r="M81" s="257" t="n"/>
      <c r="N81" s="257" t="n"/>
      <c r="O81" s="256" t="n"/>
      <c r="P81" s="257" t="n"/>
      <c r="Q81" s="257" t="n"/>
      <c r="R81" s="256" t="n"/>
      <c r="S81" s="257" t="n"/>
      <c r="T81" s="257" t="n"/>
      <c r="U81" s="256" t="n"/>
      <c r="V81" s="257" t="n"/>
      <c r="W81" s="257" t="n"/>
      <c r="X81" s="256" t="n"/>
      <c r="Y81" s="257" t="n"/>
      <c r="Z81" s="256" t="n"/>
      <c r="AA81" s="258" t="n"/>
    </row>
    <row r="82" ht="16.5" customFormat="1" customHeight="1" s="20" thickBot="1">
      <c r="A82" s="125" t="n"/>
      <c r="B82" s="125" t="n"/>
      <c r="C82" s="125" t="n"/>
      <c r="D82" s="125" t="n"/>
      <c r="E82" s="125" t="n"/>
      <c r="F82" s="125" t="n"/>
      <c r="G82" s="271" t="n"/>
      <c r="H82" s="271" t="n"/>
      <c r="I82" s="272" t="n"/>
      <c r="J82" s="271" t="n"/>
      <c r="K82" s="271" t="n"/>
      <c r="L82" s="272" t="n"/>
      <c r="M82" s="271" t="n"/>
      <c r="N82" s="271" t="n"/>
      <c r="O82" s="272" t="n"/>
      <c r="P82" s="271" t="n"/>
      <c r="Q82" s="271" t="n"/>
      <c r="R82" s="272" t="n"/>
      <c r="S82" s="271" t="n"/>
      <c r="T82" s="271" t="n"/>
      <c r="U82" s="272" t="n"/>
      <c r="V82" s="271" t="n"/>
      <c r="W82" s="271" t="n"/>
      <c r="X82" s="272" t="n"/>
      <c r="Y82" s="271" t="n"/>
      <c r="Z82" s="272" t="n"/>
      <c r="AA82" s="273" t="n"/>
    </row>
    <row r="83" ht="21" customFormat="1" customHeight="1" s="8">
      <c r="A83" s="197" t="inlineStr">
        <is>
          <t>구 분</t>
        </is>
      </c>
      <c r="B83" s="89" t="inlineStr">
        <is>
          <t>NO 3 INCOMMING</t>
        </is>
      </c>
      <c r="C83" s="259" t="n"/>
      <c r="D83" s="259" t="n"/>
      <c r="E83" s="89" t="inlineStr">
        <is>
          <t>54.55 S/S</t>
        </is>
      </c>
      <c r="F83" s="259" t="n"/>
      <c r="G83" s="259" t="n"/>
      <c r="H83" s="89" t="inlineStr">
        <is>
          <t>백운쇼핑</t>
        </is>
      </c>
      <c r="I83" s="259" t="n"/>
      <c r="J83" s="229" t="n"/>
      <c r="K83" s="89" t="inlineStr">
        <is>
          <t>56 S/S</t>
        </is>
      </c>
      <c r="L83" s="259" t="n"/>
      <c r="M83" s="229" t="n"/>
      <c r="N83" s="95" t="n"/>
      <c r="O83" s="228" t="inlineStr">
        <is>
          <t>백운아트홀</t>
        </is>
      </c>
      <c r="P83" s="228" t="n"/>
      <c r="Q83" s="97" t="n"/>
      <c r="R83" s="228" t="inlineStr">
        <is>
          <t>백운 G/L</t>
        </is>
      </c>
      <c r="S83" s="274" t="n"/>
      <c r="T83" s="99" t="n"/>
      <c r="U83" s="228" t="inlineStr">
        <is>
          <t>기술교육센터</t>
        </is>
      </c>
      <c r="V83" s="274" t="n"/>
      <c r="W83" s="52" t="inlineStr">
        <is>
          <t>제철회관</t>
        </is>
      </c>
      <c r="X83" s="227" t="n"/>
      <c r="Y83" s="230" t="n"/>
      <c r="Z83" s="259" t="n"/>
      <c r="AA83" s="275" t="n"/>
    </row>
    <row r="84" ht="21" customFormat="1" customHeight="1" s="8">
      <c r="A84" s="232" t="n"/>
      <c r="B84" s="57" t="inlineStr">
        <is>
          <t>적산량×4800</t>
        </is>
      </c>
      <c r="C84" s="233" t="n"/>
      <c r="D84" s="233" t="n"/>
      <c r="E84" s="57" t="inlineStr">
        <is>
          <t>적산량×2400</t>
        </is>
      </c>
      <c r="F84" s="233" t="n"/>
      <c r="G84" s="234" t="n"/>
      <c r="H84" s="57" t="inlineStr">
        <is>
          <t>적산량×2400</t>
        </is>
      </c>
      <c r="I84" s="233" t="n"/>
      <c r="J84" s="234" t="n"/>
      <c r="K84" s="57" t="inlineStr">
        <is>
          <t>적산량×2400</t>
        </is>
      </c>
      <c r="L84" s="233" t="n"/>
      <c r="M84" s="234" t="n"/>
      <c r="N84" s="100" t="n"/>
      <c r="O84" s="57" t="n"/>
      <c r="P84" s="233" t="n"/>
      <c r="Q84" s="57" t="n"/>
      <c r="R84" s="233" t="n"/>
      <c r="S84" s="234" t="n"/>
      <c r="T84" s="276" t="inlineStr">
        <is>
          <t>적산량×1800</t>
        </is>
      </c>
      <c r="U84" s="211" t="n"/>
      <c r="V84" s="212" t="n"/>
      <c r="W84" s="276" t="inlineStr">
        <is>
          <t>적산량×2400</t>
        </is>
      </c>
      <c r="X84" s="211" t="n"/>
      <c r="Y84" s="212" t="n"/>
      <c r="Z84" s="233" t="n"/>
      <c r="AA84" s="261" t="n"/>
    </row>
    <row r="85" ht="21" customFormat="1" customHeight="1" s="8">
      <c r="A85" s="232" t="n"/>
      <c r="B85" s="61" t="inlineStr">
        <is>
          <t>지침(KW)</t>
        </is>
      </c>
      <c r="C85" s="236" t="inlineStr">
        <is>
          <t>사용량(KWH)</t>
        </is>
      </c>
      <c r="D85" s="236" t="inlineStr">
        <is>
          <t>최대(A)</t>
        </is>
      </c>
      <c r="E85" s="61" t="inlineStr">
        <is>
          <t>지침(KW)</t>
        </is>
      </c>
      <c r="F85" s="236" t="inlineStr">
        <is>
          <t>사용량(KWH)</t>
        </is>
      </c>
      <c r="G85" s="236" t="inlineStr">
        <is>
          <t>최대(A)</t>
        </is>
      </c>
      <c r="H85" s="61" t="inlineStr">
        <is>
          <t>지침(KW)</t>
        </is>
      </c>
      <c r="I85" s="277" t="inlineStr">
        <is>
          <t>사용량(KWH)</t>
        </is>
      </c>
      <c r="J85" s="236" t="inlineStr">
        <is>
          <t>최대(A)</t>
        </is>
      </c>
      <c r="K85" s="61" t="inlineStr">
        <is>
          <t>지침(KW)</t>
        </is>
      </c>
      <c r="L85" s="236" t="inlineStr">
        <is>
          <t>사용량(KWH)</t>
        </is>
      </c>
      <c r="M85" s="237" t="inlineStr">
        <is>
          <t>최대(A)</t>
        </is>
      </c>
      <c r="N85" s="61" t="inlineStr">
        <is>
          <t>지침(KW)</t>
        </is>
      </c>
      <c r="O85" s="278" t="inlineStr">
        <is>
          <t>사용량(KWH)</t>
        </is>
      </c>
      <c r="P85" s="237" t="inlineStr">
        <is>
          <t>최대(A)</t>
        </is>
      </c>
      <c r="Q85" s="61" t="inlineStr">
        <is>
          <t>지침(KW)</t>
        </is>
      </c>
      <c r="R85" s="278" t="inlineStr">
        <is>
          <t>사용량(KWH)</t>
        </is>
      </c>
      <c r="S85" s="237" t="inlineStr">
        <is>
          <t>최대(A)</t>
        </is>
      </c>
      <c r="T85" s="61" t="inlineStr">
        <is>
          <t>지침(KW)</t>
        </is>
      </c>
      <c r="U85" s="236" t="inlineStr">
        <is>
          <t>사용량(KWH)</t>
        </is>
      </c>
      <c r="V85" s="279" t="inlineStr">
        <is>
          <t>최대(A)</t>
        </is>
      </c>
      <c r="W85" s="61" t="inlineStr">
        <is>
          <t>지침(KW)</t>
        </is>
      </c>
      <c r="X85" s="236" t="inlineStr">
        <is>
          <t>사용량(KWH)</t>
        </is>
      </c>
      <c r="Y85" s="237" t="inlineStr">
        <is>
          <t>최대(A)</t>
        </is>
      </c>
      <c r="Z85" s="236" t="n"/>
      <c r="AA85" s="280" t="n"/>
    </row>
    <row r="86" ht="16.5" customFormat="1" customHeight="1" s="15">
      <c r="A86" s="65" t="inlineStr">
        <is>
          <t>전월</t>
        </is>
      </c>
      <c r="B86" s="129" t="n"/>
      <c r="C86" s="240" t="n"/>
      <c r="D86" s="240" t="n"/>
      <c r="E86" s="129" t="n"/>
      <c r="F86" s="240" t="n"/>
      <c r="G86" s="240" t="n"/>
      <c r="H86" s="129" t="n"/>
      <c r="I86" s="240" t="n"/>
      <c r="J86" s="240" t="n"/>
      <c r="K86" s="129" t="n"/>
      <c r="L86" s="240" t="n"/>
      <c r="M86" s="240" t="n"/>
      <c r="N86" s="129" t="n"/>
      <c r="O86" s="281" t="n"/>
      <c r="P86" s="240" t="n"/>
      <c r="Q86" s="129" t="n"/>
      <c r="R86" s="281" t="n"/>
      <c r="S86" s="240" t="n"/>
      <c r="T86" s="129" t="n"/>
      <c r="U86" s="240" t="n"/>
      <c r="V86" s="240" t="n"/>
      <c r="W86" s="129" t="n"/>
      <c r="X86" s="240" t="n"/>
      <c r="Y86" s="69" t="n"/>
      <c r="Z86" s="282" t="n"/>
      <c r="AA86" s="283" t="n"/>
    </row>
    <row r="87" ht="16.5" customFormat="1" customHeight="1" s="15">
      <c r="A87" s="65" t="inlineStr">
        <is>
          <t>1일</t>
        </is>
      </c>
      <c r="B87" s="66" t="n"/>
      <c r="C87" s="241" t="n"/>
      <c r="D87" s="241" t="n"/>
      <c r="E87" s="66" t="n"/>
      <c r="F87" s="241" t="n"/>
      <c r="G87" s="241" t="n"/>
      <c r="H87" s="92" t="n"/>
      <c r="I87" s="241" t="n"/>
      <c r="J87" s="241" t="n"/>
      <c r="K87" s="66" t="n"/>
      <c r="L87" s="241" t="n"/>
      <c r="M87" s="264" t="n"/>
      <c r="N87" s="264" t="n"/>
      <c r="O87" s="284" t="n"/>
      <c r="P87" s="241" t="n"/>
      <c r="Q87" s="66" t="n"/>
      <c r="R87" s="284" t="n"/>
      <c r="S87" s="241" t="n"/>
      <c r="T87" s="66" t="n"/>
      <c r="U87" s="241" t="n"/>
      <c r="V87" s="241" t="n"/>
      <c r="W87" s="66" t="n"/>
      <c r="X87" s="241" t="n"/>
      <c r="Y87" s="241" t="n"/>
      <c r="Z87" s="282" t="n"/>
      <c r="AA87" s="283" t="n"/>
    </row>
    <row r="88" ht="16.5" customFormat="1" customHeight="1" s="15">
      <c r="A88" s="65" t="inlineStr">
        <is>
          <t>2일</t>
        </is>
      </c>
      <c r="B88" s="66" t="n"/>
      <c r="C88" s="241" t="n"/>
      <c r="D88" s="241" t="n"/>
      <c r="E88" s="66" t="n"/>
      <c r="F88" s="241" t="n"/>
      <c r="G88" s="241" t="n"/>
      <c r="H88" s="92" t="n"/>
      <c r="I88" s="241" t="n"/>
      <c r="J88" s="241" t="n"/>
      <c r="K88" s="66" t="n"/>
      <c r="L88" s="241" t="n"/>
      <c r="M88" s="264" t="n"/>
      <c r="N88" s="66" t="n"/>
      <c r="O88" s="284" t="n"/>
      <c r="P88" s="241" t="n"/>
      <c r="Q88" s="103" t="n"/>
      <c r="R88" s="284" t="n"/>
      <c r="S88" s="241" t="n"/>
      <c r="T88" s="66" t="n"/>
      <c r="U88" s="241" t="n"/>
      <c r="V88" s="241" t="n"/>
      <c r="W88" s="66" t="n"/>
      <c r="X88" s="241" t="n"/>
      <c r="Y88" s="241" t="n"/>
      <c r="Z88" s="239" t="n"/>
      <c r="AA88" s="285" t="n"/>
    </row>
    <row r="89" ht="16.5" customFormat="1" customHeight="1" s="15">
      <c r="A89" s="65" t="inlineStr">
        <is>
          <t>3일</t>
        </is>
      </c>
      <c r="B89" s="66" t="n"/>
      <c r="C89" s="241" t="n"/>
      <c r="D89" s="241" t="n"/>
      <c r="E89" s="66" t="n"/>
      <c r="F89" s="241" t="n"/>
      <c r="G89" s="241" t="n"/>
      <c r="H89" s="92" t="n"/>
      <c r="I89" s="241" t="n"/>
      <c r="J89" s="241" t="n"/>
      <c r="K89" s="66" t="n"/>
      <c r="L89" s="241" t="n"/>
      <c r="M89" s="264" t="n"/>
      <c r="N89" s="66" t="n"/>
      <c r="O89" s="284" t="n"/>
      <c r="P89" s="241" t="n"/>
      <c r="Q89" s="103" t="n"/>
      <c r="R89" s="284" t="n"/>
      <c r="S89" s="241" t="n"/>
      <c r="T89" s="66" t="n"/>
      <c r="U89" s="241" t="n"/>
      <c r="V89" s="241" t="n"/>
      <c r="W89" s="66" t="n"/>
      <c r="X89" s="241" t="n"/>
      <c r="Y89" s="241" t="n"/>
      <c r="Z89" s="239" t="n"/>
      <c r="AA89" s="285" t="n"/>
    </row>
    <row r="90" ht="16.5" customFormat="1" customHeight="1" s="15">
      <c r="A90" s="65" t="inlineStr">
        <is>
          <t>4일</t>
        </is>
      </c>
      <c r="B90" s="66" t="n"/>
      <c r="C90" s="241" t="n"/>
      <c r="D90" s="241" t="n"/>
      <c r="E90" s="66" t="n"/>
      <c r="F90" s="241" t="n"/>
      <c r="G90" s="241" t="n"/>
      <c r="H90" s="92" t="n"/>
      <c r="I90" s="241" t="n"/>
      <c r="J90" s="241" t="n"/>
      <c r="K90" s="66" t="n"/>
      <c r="L90" s="241" t="n"/>
      <c r="M90" s="264" t="n"/>
      <c r="N90" s="66" t="n"/>
      <c r="O90" s="284" t="n"/>
      <c r="P90" s="241" t="n"/>
      <c r="Q90" s="103" t="n"/>
      <c r="R90" s="284" t="n"/>
      <c r="S90" s="241" t="n"/>
      <c r="T90" s="66" t="n"/>
      <c r="U90" s="241" t="n"/>
      <c r="V90" s="241" t="n"/>
      <c r="W90" s="66" t="n"/>
      <c r="X90" s="241" t="n"/>
      <c r="Y90" s="241" t="n"/>
      <c r="Z90" s="239" t="n"/>
      <c r="AA90" s="285" t="n"/>
    </row>
    <row r="91" ht="16.5" customFormat="1" customHeight="1" s="15">
      <c r="A91" s="65" t="inlineStr">
        <is>
          <t>5일</t>
        </is>
      </c>
      <c r="B91" s="66" t="n"/>
      <c r="C91" s="241" t="n"/>
      <c r="D91" s="241" t="n"/>
      <c r="E91" s="66" t="n"/>
      <c r="F91" s="241" t="n"/>
      <c r="G91" s="241" t="n"/>
      <c r="H91" s="92" t="n"/>
      <c r="I91" s="241" t="n"/>
      <c r="J91" s="241" t="n"/>
      <c r="K91" s="66" t="n"/>
      <c r="L91" s="241" t="n"/>
      <c r="M91" s="264" t="n"/>
      <c r="N91" s="66" t="n"/>
      <c r="O91" s="284" t="n"/>
      <c r="P91" s="241" t="n"/>
      <c r="Q91" s="103" t="n"/>
      <c r="R91" s="284" t="n"/>
      <c r="S91" s="241" t="n"/>
      <c r="T91" s="66" t="n"/>
      <c r="U91" s="241" t="n"/>
      <c r="V91" s="241" t="n"/>
      <c r="W91" s="66" t="n"/>
      <c r="X91" s="241" t="n"/>
      <c r="Y91" s="241" t="n"/>
      <c r="Z91" s="239" t="n"/>
      <c r="AA91" s="285" t="n"/>
    </row>
    <row r="92" ht="16.5" customFormat="1" customHeight="1" s="15">
      <c r="A92" s="65" t="inlineStr">
        <is>
          <t>6일</t>
        </is>
      </c>
      <c r="B92" s="66" t="n"/>
      <c r="C92" s="241" t="n"/>
      <c r="D92" s="241" t="n"/>
      <c r="E92" s="66" t="n"/>
      <c r="F92" s="241" t="n"/>
      <c r="G92" s="241" t="n"/>
      <c r="H92" s="92" t="n"/>
      <c r="I92" s="241" t="n"/>
      <c r="J92" s="241" t="n"/>
      <c r="K92" s="66" t="n"/>
      <c r="L92" s="241" t="n"/>
      <c r="M92" s="264" t="n"/>
      <c r="N92" s="66" t="n"/>
      <c r="O92" s="284" t="n"/>
      <c r="P92" s="241" t="n"/>
      <c r="Q92" s="103" t="n"/>
      <c r="R92" s="284" t="n"/>
      <c r="S92" s="241" t="n"/>
      <c r="T92" s="66" t="n"/>
      <c r="U92" s="241" t="n"/>
      <c r="V92" s="241" t="n"/>
      <c r="W92" s="66" t="n"/>
      <c r="X92" s="241" t="n"/>
      <c r="Y92" s="241" t="n"/>
      <c r="Z92" s="239" t="n"/>
      <c r="AA92" s="285" t="n"/>
    </row>
    <row r="93" ht="16.5" customFormat="1" customHeight="1" s="15">
      <c r="A93" s="65" t="inlineStr">
        <is>
          <t>7일</t>
        </is>
      </c>
      <c r="B93" s="66" t="n"/>
      <c r="C93" s="241" t="n"/>
      <c r="D93" s="241" t="n"/>
      <c r="E93" s="66" t="n"/>
      <c r="F93" s="241" t="n"/>
      <c r="G93" s="241" t="n"/>
      <c r="H93" s="92" t="n"/>
      <c r="I93" s="241" t="n"/>
      <c r="J93" s="241" t="n"/>
      <c r="K93" s="66" t="n"/>
      <c r="L93" s="241" t="n"/>
      <c r="M93" s="264" t="n"/>
      <c r="N93" s="66" t="n"/>
      <c r="O93" s="284" t="n"/>
      <c r="P93" s="241" t="n"/>
      <c r="Q93" s="103" t="n"/>
      <c r="R93" s="284" t="n"/>
      <c r="S93" s="241" t="n"/>
      <c r="T93" s="66" t="n"/>
      <c r="U93" s="241" t="n"/>
      <c r="V93" s="241" t="n"/>
      <c r="W93" s="66" t="n"/>
      <c r="X93" s="241" t="n"/>
      <c r="Y93" s="241" t="n"/>
      <c r="Z93" s="239" t="n"/>
      <c r="AA93" s="285" t="n"/>
    </row>
    <row r="94" ht="16.5" customFormat="1" customHeight="1" s="15">
      <c r="A94" s="65" t="inlineStr">
        <is>
          <t>8일</t>
        </is>
      </c>
      <c r="B94" s="66" t="n"/>
      <c r="C94" s="241" t="n"/>
      <c r="D94" s="241" t="n"/>
      <c r="E94" s="66" t="n"/>
      <c r="F94" s="241" t="n"/>
      <c r="G94" s="241" t="n"/>
      <c r="H94" s="92" t="n"/>
      <c r="I94" s="241" t="n"/>
      <c r="J94" s="241" t="n"/>
      <c r="K94" s="66" t="n"/>
      <c r="L94" s="241" t="n"/>
      <c r="M94" s="264" t="n"/>
      <c r="N94" s="66" t="n"/>
      <c r="O94" s="284" t="n"/>
      <c r="P94" s="241" t="n"/>
      <c r="Q94" s="103" t="n"/>
      <c r="R94" s="284" t="n"/>
      <c r="S94" s="241" t="n"/>
      <c r="T94" s="66" t="n"/>
      <c r="U94" s="241" t="n"/>
      <c r="V94" s="241" t="n"/>
      <c r="W94" s="66" t="n"/>
      <c r="X94" s="241" t="n"/>
      <c r="Y94" s="241" t="n"/>
      <c r="Z94" s="239" t="n"/>
      <c r="AA94" s="285" t="n"/>
    </row>
    <row r="95" ht="16.5" customFormat="1" customHeight="1" s="15">
      <c r="A95" s="65" t="inlineStr">
        <is>
          <t>9일</t>
        </is>
      </c>
      <c r="B95" s="66" t="n"/>
      <c r="C95" s="241" t="n"/>
      <c r="D95" s="241" t="n"/>
      <c r="E95" s="66" t="n"/>
      <c r="F95" s="241" t="n"/>
      <c r="G95" s="241" t="n"/>
      <c r="H95" s="92" t="n"/>
      <c r="I95" s="241" t="n"/>
      <c r="J95" s="241" t="n"/>
      <c r="K95" s="66" t="n"/>
      <c r="L95" s="241" t="n"/>
      <c r="M95" s="264" t="n"/>
      <c r="N95" s="66" t="n"/>
      <c r="O95" s="284" t="n"/>
      <c r="P95" s="241" t="n"/>
      <c r="Q95" s="103" t="n"/>
      <c r="R95" s="284" t="n"/>
      <c r="S95" s="241" t="n"/>
      <c r="T95" s="66" t="n"/>
      <c r="U95" s="241" t="n"/>
      <c r="V95" s="241" t="n"/>
      <c r="W95" s="66" t="n"/>
      <c r="X95" s="241" t="n"/>
      <c r="Y95" s="241" t="n"/>
      <c r="Z95" s="239" t="n"/>
      <c r="AA95" s="285" t="n"/>
    </row>
    <row r="96" ht="16.5" customFormat="1" customHeight="1" s="15">
      <c r="A96" s="65" t="inlineStr">
        <is>
          <t>10일</t>
        </is>
      </c>
      <c r="B96" s="66" t="n"/>
      <c r="C96" s="241" t="n"/>
      <c r="D96" s="241" t="n"/>
      <c r="E96" s="66" t="n"/>
      <c r="F96" s="241" t="n"/>
      <c r="G96" s="241" t="n"/>
      <c r="H96" s="92" t="n"/>
      <c r="I96" s="241" t="n"/>
      <c r="J96" s="241" t="n"/>
      <c r="K96" s="66" t="n"/>
      <c r="L96" s="241" t="n"/>
      <c r="M96" s="264" t="n"/>
      <c r="N96" s="66" t="n"/>
      <c r="O96" s="284" t="n"/>
      <c r="P96" s="241" t="n"/>
      <c r="Q96" s="103" t="n"/>
      <c r="R96" s="284" t="n"/>
      <c r="S96" s="241" t="n"/>
      <c r="T96" s="66" t="n"/>
      <c r="U96" s="241" t="n"/>
      <c r="V96" s="241" t="n"/>
      <c r="W96" s="66" t="n"/>
      <c r="X96" s="241" t="n"/>
      <c r="Y96" s="241" t="n"/>
      <c r="Z96" s="239" t="n"/>
      <c r="AA96" s="285" t="n"/>
    </row>
    <row r="97" ht="16.5" customFormat="1" customHeight="1" s="15">
      <c r="A97" s="65" t="inlineStr">
        <is>
          <t>11일</t>
        </is>
      </c>
      <c r="B97" s="66" t="n"/>
      <c r="C97" s="241" t="n"/>
      <c r="D97" s="241" t="n"/>
      <c r="E97" s="66" t="n"/>
      <c r="F97" s="241" t="n"/>
      <c r="G97" s="241" t="n"/>
      <c r="H97" s="92" t="n"/>
      <c r="I97" s="241" t="n"/>
      <c r="J97" s="241" t="n"/>
      <c r="K97" s="66" t="n"/>
      <c r="L97" s="241" t="n"/>
      <c r="M97" s="264" t="n"/>
      <c r="N97" s="66" t="n"/>
      <c r="O97" s="284" t="n"/>
      <c r="P97" s="241" t="n"/>
      <c r="Q97" s="103" t="n"/>
      <c r="R97" s="284" t="n"/>
      <c r="S97" s="241" t="n"/>
      <c r="T97" s="66" t="n"/>
      <c r="U97" s="241" t="n"/>
      <c r="V97" s="241" t="n"/>
      <c r="W97" s="66" t="n"/>
      <c r="X97" s="241" t="n"/>
      <c r="Y97" s="241" t="n"/>
      <c r="Z97" s="239" t="n"/>
      <c r="AA97" s="285" t="n"/>
    </row>
    <row r="98" ht="16.5" customFormat="1" customHeight="1" s="15">
      <c r="A98" s="65" t="inlineStr">
        <is>
          <t>12일</t>
        </is>
      </c>
      <c r="B98" s="66" t="n"/>
      <c r="C98" s="241" t="n"/>
      <c r="D98" s="241" t="n"/>
      <c r="E98" s="66" t="n"/>
      <c r="F98" s="241" t="n"/>
      <c r="G98" s="241" t="n"/>
      <c r="H98" s="92" t="n"/>
      <c r="I98" s="241" t="n"/>
      <c r="J98" s="241" t="n"/>
      <c r="K98" s="66" t="n"/>
      <c r="L98" s="241" t="n"/>
      <c r="M98" s="264" t="n"/>
      <c r="N98" s="66" t="n"/>
      <c r="O98" s="284" t="n"/>
      <c r="P98" s="241" t="n"/>
      <c r="Q98" s="103" t="n"/>
      <c r="R98" s="284" t="n"/>
      <c r="S98" s="241" t="n"/>
      <c r="T98" s="66" t="n"/>
      <c r="U98" s="241" t="n"/>
      <c r="V98" s="241" t="n"/>
      <c r="W98" s="66" t="n"/>
      <c r="X98" s="241" t="n"/>
      <c r="Y98" s="241" t="n"/>
      <c r="Z98" s="239" t="n"/>
      <c r="AA98" s="285" t="n"/>
    </row>
    <row r="99" ht="16.5" customFormat="1" customHeight="1" s="15">
      <c r="A99" s="65" t="inlineStr">
        <is>
          <t>13일</t>
        </is>
      </c>
      <c r="B99" s="66" t="n"/>
      <c r="C99" s="241" t="n"/>
      <c r="D99" s="241" t="n"/>
      <c r="E99" s="66" t="n"/>
      <c r="F99" s="241" t="n"/>
      <c r="G99" s="241" t="n"/>
      <c r="H99" s="92" t="n"/>
      <c r="I99" s="241" t="n"/>
      <c r="J99" s="241" t="n"/>
      <c r="K99" s="66" t="n"/>
      <c r="L99" s="241" t="n"/>
      <c r="M99" s="264" t="n"/>
      <c r="N99" s="66" t="n"/>
      <c r="O99" s="284" t="n"/>
      <c r="P99" s="241" t="n"/>
      <c r="Q99" s="103" t="n"/>
      <c r="R99" s="284" t="n"/>
      <c r="S99" s="241" t="n"/>
      <c r="T99" s="66" t="n"/>
      <c r="U99" s="241" t="n"/>
      <c r="V99" s="241" t="n"/>
      <c r="W99" s="66" t="n"/>
      <c r="X99" s="241" t="n"/>
      <c r="Y99" s="241" t="n"/>
      <c r="Z99" s="239" t="n"/>
      <c r="AA99" s="285" t="n"/>
    </row>
    <row r="100" ht="16.5" customFormat="1" customHeight="1" s="15">
      <c r="A100" s="65" t="inlineStr">
        <is>
          <t>14일</t>
        </is>
      </c>
      <c r="B100" s="66" t="n"/>
      <c r="C100" s="241" t="n"/>
      <c r="D100" s="241" t="n"/>
      <c r="E100" s="66" t="n"/>
      <c r="F100" s="241" t="n"/>
      <c r="G100" s="241" t="n"/>
      <c r="H100" s="92" t="n"/>
      <c r="I100" s="241" t="n"/>
      <c r="J100" s="241" t="n"/>
      <c r="K100" s="66" t="n"/>
      <c r="L100" s="241" t="n"/>
      <c r="M100" s="264" t="n"/>
      <c r="N100" s="66" t="n"/>
      <c r="O100" s="284" t="n"/>
      <c r="P100" s="241" t="n"/>
      <c r="Q100" s="103" t="n"/>
      <c r="R100" s="284" t="n"/>
      <c r="S100" s="241" t="n"/>
      <c r="T100" s="66" t="n"/>
      <c r="U100" s="241" t="n"/>
      <c r="V100" s="241" t="n"/>
      <c r="W100" s="66" t="n"/>
      <c r="X100" s="241" t="n"/>
      <c r="Y100" s="241" t="n"/>
      <c r="Z100" s="239" t="n"/>
      <c r="AA100" s="285" t="n"/>
    </row>
    <row r="101" ht="16.5" customFormat="1" customHeight="1" s="15">
      <c r="A101" s="65" t="inlineStr">
        <is>
          <t>15일</t>
        </is>
      </c>
      <c r="B101" s="66" t="n"/>
      <c r="C101" s="241" t="n"/>
      <c r="D101" s="241" t="n"/>
      <c r="E101" s="66" t="n"/>
      <c r="F101" s="241" t="n"/>
      <c r="G101" s="241" t="n"/>
      <c r="H101" s="92" t="n"/>
      <c r="I101" s="241" t="n"/>
      <c r="J101" s="241" t="n"/>
      <c r="K101" s="66" t="n"/>
      <c r="L101" s="241" t="n"/>
      <c r="M101" s="264" t="n"/>
      <c r="N101" s="66" t="n"/>
      <c r="O101" s="284" t="n"/>
      <c r="P101" s="241" t="n"/>
      <c r="Q101" s="103" t="n"/>
      <c r="R101" s="284" t="n"/>
      <c r="S101" s="241" t="n"/>
      <c r="T101" s="66" t="n"/>
      <c r="U101" s="241" t="n"/>
      <c r="V101" s="241" t="n"/>
      <c r="W101" s="66" t="n"/>
      <c r="X101" s="241" t="n"/>
      <c r="Y101" s="241" t="n"/>
      <c r="Z101" s="239" t="n"/>
      <c r="AA101" s="285" t="n"/>
    </row>
    <row r="102" ht="16.5" customFormat="1" customHeight="1" s="15">
      <c r="A102" s="65" t="inlineStr">
        <is>
          <t>16일</t>
        </is>
      </c>
      <c r="B102" s="66" t="n"/>
      <c r="C102" s="241" t="n"/>
      <c r="D102" s="241" t="n"/>
      <c r="E102" s="66" t="n"/>
      <c r="F102" s="241" t="n"/>
      <c r="G102" s="241" t="n"/>
      <c r="H102" s="92" t="n"/>
      <c r="I102" s="241" t="n"/>
      <c r="J102" s="241" t="n"/>
      <c r="K102" s="66" t="n"/>
      <c r="L102" s="241" t="n"/>
      <c r="M102" s="264" t="n"/>
      <c r="N102" s="66" t="n"/>
      <c r="O102" s="284" t="n"/>
      <c r="P102" s="241" t="n"/>
      <c r="Q102" s="103" t="n"/>
      <c r="R102" s="284" t="n"/>
      <c r="S102" s="241" t="n"/>
      <c r="T102" s="66" t="n"/>
      <c r="U102" s="241" t="n"/>
      <c r="V102" s="241" t="n"/>
      <c r="W102" s="66" t="n"/>
      <c r="X102" s="241" t="n"/>
      <c r="Y102" s="241" t="n"/>
      <c r="Z102" s="239" t="n"/>
      <c r="AA102" s="285" t="n"/>
    </row>
    <row r="103" ht="16.5" customFormat="1" customHeight="1" s="15">
      <c r="A103" s="65" t="inlineStr">
        <is>
          <t>17일</t>
        </is>
      </c>
      <c r="B103" s="66" t="n"/>
      <c r="C103" s="241" t="n"/>
      <c r="D103" s="241" t="n"/>
      <c r="E103" s="66" t="n"/>
      <c r="F103" s="241" t="n"/>
      <c r="G103" s="241" t="n"/>
      <c r="H103" s="92" t="n"/>
      <c r="I103" s="241" t="n"/>
      <c r="J103" s="241" t="n"/>
      <c r="K103" s="66" t="n"/>
      <c r="L103" s="241" t="n"/>
      <c r="M103" s="264" t="n"/>
      <c r="N103" s="66" t="n"/>
      <c r="O103" s="284" t="n"/>
      <c r="P103" s="241" t="n"/>
      <c r="Q103" s="103" t="n"/>
      <c r="R103" s="284" t="n"/>
      <c r="S103" s="241" t="n"/>
      <c r="T103" s="66" t="n"/>
      <c r="U103" s="241" t="n"/>
      <c r="V103" s="241" t="n"/>
      <c r="W103" s="66" t="n"/>
      <c r="X103" s="241" t="n"/>
      <c r="Y103" s="241" t="n"/>
      <c r="Z103" s="239" t="n"/>
      <c r="AA103" s="285" t="n"/>
    </row>
    <row r="104" ht="16.5" customFormat="1" customHeight="1" s="15">
      <c r="A104" s="65" t="inlineStr">
        <is>
          <t>18일</t>
        </is>
      </c>
      <c r="B104" s="66" t="n"/>
      <c r="C104" s="241" t="n"/>
      <c r="D104" s="241" t="n"/>
      <c r="E104" s="66" t="n"/>
      <c r="F104" s="241" t="n"/>
      <c r="G104" s="241" t="n"/>
      <c r="H104" s="92" t="n"/>
      <c r="I104" s="241" t="n"/>
      <c r="J104" s="241" t="n"/>
      <c r="K104" s="66" t="n"/>
      <c r="L104" s="241" t="n"/>
      <c r="M104" s="264" t="n"/>
      <c r="N104" s="66" t="n"/>
      <c r="O104" s="284" t="n"/>
      <c r="P104" s="241" t="n"/>
      <c r="Q104" s="103" t="n"/>
      <c r="R104" s="284" t="n"/>
      <c r="S104" s="241" t="n"/>
      <c r="T104" s="66" t="n"/>
      <c r="U104" s="241" t="n"/>
      <c r="V104" s="241" t="n"/>
      <c r="W104" s="66" t="n"/>
      <c r="X104" s="241" t="n"/>
      <c r="Y104" s="241" t="n"/>
      <c r="Z104" s="239" t="n"/>
      <c r="AA104" s="285" t="n"/>
    </row>
    <row r="105" ht="16.5" customFormat="1" customHeight="1" s="15">
      <c r="A105" s="65" t="inlineStr">
        <is>
          <t>19일</t>
        </is>
      </c>
      <c r="B105" s="66" t="n"/>
      <c r="C105" s="241" t="n"/>
      <c r="D105" s="241" t="n"/>
      <c r="E105" s="66" t="n"/>
      <c r="F105" s="241" t="n"/>
      <c r="G105" s="241" t="n"/>
      <c r="H105" s="92" t="n"/>
      <c r="I105" s="241" t="n"/>
      <c r="J105" s="241" t="n"/>
      <c r="K105" s="66" t="n"/>
      <c r="L105" s="241" t="n"/>
      <c r="M105" s="264" t="n"/>
      <c r="N105" s="66" t="n"/>
      <c r="O105" s="284" t="n"/>
      <c r="P105" s="241" t="n"/>
      <c r="Q105" s="103" t="n"/>
      <c r="R105" s="284" t="n"/>
      <c r="S105" s="241" t="n"/>
      <c r="T105" s="66" t="n"/>
      <c r="U105" s="241" t="n"/>
      <c r="V105" s="241" t="n"/>
      <c r="W105" s="66" t="n"/>
      <c r="X105" s="241" t="n"/>
      <c r="Y105" s="241" t="n"/>
      <c r="Z105" s="239" t="n"/>
      <c r="AA105" s="285" t="n"/>
    </row>
    <row r="106" ht="16.5" customFormat="1" customHeight="1" s="15">
      <c r="A106" s="65" t="inlineStr">
        <is>
          <t>20일</t>
        </is>
      </c>
      <c r="B106" s="66" t="n"/>
      <c r="C106" s="241" t="n"/>
      <c r="D106" s="241" t="n"/>
      <c r="E106" s="66" t="n"/>
      <c r="F106" s="241" t="n"/>
      <c r="G106" s="241" t="n"/>
      <c r="H106" s="92" t="n"/>
      <c r="I106" s="241" t="n"/>
      <c r="J106" s="241" t="n"/>
      <c r="K106" s="66" t="n"/>
      <c r="L106" s="241" t="n"/>
      <c r="M106" s="264" t="n"/>
      <c r="N106" s="66" t="n"/>
      <c r="O106" s="284" t="n"/>
      <c r="P106" s="241" t="n"/>
      <c r="Q106" s="103" t="n"/>
      <c r="R106" s="284" t="n"/>
      <c r="S106" s="241" t="n"/>
      <c r="T106" s="66" t="n"/>
      <c r="U106" s="241" t="n"/>
      <c r="V106" s="241" t="n"/>
      <c r="W106" s="66" t="n"/>
      <c r="X106" s="241" t="n"/>
      <c r="Y106" s="241" t="n"/>
      <c r="Z106" s="239" t="n"/>
      <c r="AA106" s="285" t="n"/>
    </row>
    <row r="107" ht="16.5" customFormat="1" customHeight="1" s="15">
      <c r="A107" s="65" t="inlineStr">
        <is>
          <t>21일</t>
        </is>
      </c>
      <c r="B107" s="66" t="n"/>
      <c r="C107" s="241" t="n"/>
      <c r="D107" s="241" t="n"/>
      <c r="E107" s="66" t="n"/>
      <c r="F107" s="241" t="n"/>
      <c r="G107" s="241" t="n"/>
      <c r="H107" s="92" t="n"/>
      <c r="I107" s="241" t="n"/>
      <c r="J107" s="241" t="n"/>
      <c r="K107" s="66" t="n"/>
      <c r="L107" s="241" t="n"/>
      <c r="M107" s="264" t="n"/>
      <c r="N107" s="66" t="n"/>
      <c r="O107" s="284" t="n"/>
      <c r="P107" s="241" t="n"/>
      <c r="Q107" s="103" t="n"/>
      <c r="R107" s="284" t="n"/>
      <c r="S107" s="241" t="n"/>
      <c r="T107" s="66" t="n"/>
      <c r="U107" s="241" t="n"/>
      <c r="V107" s="241" t="n"/>
      <c r="W107" s="66" t="n"/>
      <c r="X107" s="241" t="n"/>
      <c r="Y107" s="241" t="n"/>
      <c r="Z107" s="239" t="n"/>
      <c r="AA107" s="285" t="n"/>
    </row>
    <row r="108" ht="16.5" customFormat="1" customHeight="1" s="15">
      <c r="A108" s="65" t="inlineStr">
        <is>
          <t>22일</t>
        </is>
      </c>
      <c r="B108" s="66" t="n"/>
      <c r="C108" s="241" t="n"/>
      <c r="D108" s="241" t="n"/>
      <c r="E108" s="66" t="n"/>
      <c r="F108" s="241" t="n"/>
      <c r="G108" s="241" t="n"/>
      <c r="H108" s="92" t="n"/>
      <c r="I108" s="241" t="n"/>
      <c r="J108" s="241" t="n"/>
      <c r="K108" s="66" t="n"/>
      <c r="L108" s="241" t="n"/>
      <c r="M108" s="264" t="n"/>
      <c r="N108" s="66" t="n"/>
      <c r="O108" s="284" t="n"/>
      <c r="P108" s="241" t="n"/>
      <c r="Q108" s="103" t="n"/>
      <c r="R108" s="284" t="n"/>
      <c r="S108" s="241" t="n"/>
      <c r="T108" s="66" t="n"/>
      <c r="U108" s="241" t="n"/>
      <c r="V108" s="241" t="n"/>
      <c r="W108" s="66" t="n"/>
      <c r="X108" s="241" t="n"/>
      <c r="Y108" s="241" t="n"/>
      <c r="Z108" s="239" t="n"/>
      <c r="AA108" s="285" t="n"/>
    </row>
    <row r="109" ht="16.5" customFormat="1" customHeight="1" s="15">
      <c r="A109" s="65" t="inlineStr">
        <is>
          <t>23일</t>
        </is>
      </c>
      <c r="B109" s="66" t="n"/>
      <c r="C109" s="241" t="n"/>
      <c r="D109" s="241" t="n"/>
      <c r="E109" s="66" t="n"/>
      <c r="F109" s="241" t="n"/>
      <c r="G109" s="241" t="n"/>
      <c r="H109" s="92" t="n"/>
      <c r="I109" s="241" t="n"/>
      <c r="J109" s="241" t="n"/>
      <c r="K109" s="66" t="n"/>
      <c r="L109" s="241" t="n"/>
      <c r="M109" s="264" t="n"/>
      <c r="N109" s="66" t="n"/>
      <c r="O109" s="284" t="n"/>
      <c r="P109" s="241" t="n"/>
      <c r="Q109" s="103" t="n"/>
      <c r="R109" s="284" t="n"/>
      <c r="S109" s="241" t="n"/>
      <c r="T109" s="66" t="n"/>
      <c r="U109" s="241" t="n"/>
      <c r="V109" s="241" t="n"/>
      <c r="W109" s="66" t="n"/>
      <c r="X109" s="241" t="n"/>
      <c r="Y109" s="241" t="n"/>
      <c r="Z109" s="239" t="n"/>
      <c r="AA109" s="285" t="n"/>
    </row>
    <row r="110" ht="16.5" customFormat="1" customHeight="1" s="15">
      <c r="A110" s="65" t="inlineStr">
        <is>
          <t>24일</t>
        </is>
      </c>
      <c r="B110" s="66" t="n"/>
      <c r="C110" s="241" t="n"/>
      <c r="D110" s="241" t="n"/>
      <c r="E110" s="66" t="n"/>
      <c r="F110" s="241" t="n"/>
      <c r="G110" s="241" t="n"/>
      <c r="H110" s="92" t="n"/>
      <c r="I110" s="241" t="n"/>
      <c r="J110" s="241" t="n"/>
      <c r="K110" s="66" t="n"/>
      <c r="L110" s="241" t="n"/>
      <c r="M110" s="264" t="n"/>
      <c r="N110" s="66" t="n"/>
      <c r="O110" s="284" t="n"/>
      <c r="P110" s="241" t="n"/>
      <c r="Q110" s="103" t="n"/>
      <c r="R110" s="284" t="n"/>
      <c r="S110" s="241" t="n"/>
      <c r="T110" s="66" t="n"/>
      <c r="U110" s="241" t="n"/>
      <c r="V110" s="241" t="n"/>
      <c r="W110" s="66" t="n"/>
      <c r="X110" s="241" t="n"/>
      <c r="Y110" s="241" t="n"/>
      <c r="Z110" s="239" t="n"/>
      <c r="AA110" s="285" t="n"/>
    </row>
    <row r="111" ht="16.5" customFormat="1" customHeight="1" s="15">
      <c r="A111" s="65" t="inlineStr">
        <is>
          <t>25일</t>
        </is>
      </c>
      <c r="B111" s="66" t="n"/>
      <c r="C111" s="241" t="n"/>
      <c r="D111" s="241" t="n"/>
      <c r="E111" s="66" t="n"/>
      <c r="F111" s="241" t="n"/>
      <c r="G111" s="241" t="n"/>
      <c r="H111" s="92" t="n"/>
      <c r="I111" s="241" t="n"/>
      <c r="J111" s="241" t="n"/>
      <c r="K111" s="66" t="n"/>
      <c r="L111" s="241" t="n"/>
      <c r="M111" s="264" t="n"/>
      <c r="N111" s="66" t="n"/>
      <c r="O111" s="284" t="n"/>
      <c r="P111" s="241" t="n"/>
      <c r="Q111" s="103" t="n"/>
      <c r="R111" s="284" t="n"/>
      <c r="S111" s="241" t="n"/>
      <c r="T111" s="66" t="n"/>
      <c r="U111" s="241" t="n"/>
      <c r="V111" s="241" t="n"/>
      <c r="W111" s="66" t="n"/>
      <c r="X111" s="241" t="n"/>
      <c r="Y111" s="241" t="n"/>
      <c r="Z111" s="239" t="n"/>
      <c r="AA111" s="285" t="n"/>
    </row>
    <row r="112" ht="16.5" customFormat="1" customHeight="1" s="15">
      <c r="A112" s="65" t="inlineStr">
        <is>
          <t>26일</t>
        </is>
      </c>
      <c r="B112" s="66" t="n"/>
      <c r="C112" s="241" t="n"/>
      <c r="D112" s="241" t="n"/>
      <c r="E112" s="66" t="n"/>
      <c r="F112" s="241" t="n"/>
      <c r="G112" s="241" t="n"/>
      <c r="H112" s="92" t="n"/>
      <c r="I112" s="241" t="n"/>
      <c r="J112" s="241" t="n"/>
      <c r="K112" s="66" t="n"/>
      <c r="L112" s="241" t="n"/>
      <c r="M112" s="264" t="n"/>
      <c r="N112" s="66" t="n"/>
      <c r="O112" s="284" t="n"/>
      <c r="P112" s="241" t="n"/>
      <c r="Q112" s="103" t="n"/>
      <c r="R112" s="284" t="n"/>
      <c r="S112" s="241" t="n"/>
      <c r="T112" s="66" t="n"/>
      <c r="U112" s="241" t="n"/>
      <c r="V112" s="241" t="n"/>
      <c r="W112" s="66" t="n"/>
      <c r="X112" s="241" t="n"/>
      <c r="Y112" s="241" t="n"/>
      <c r="Z112" s="239" t="n"/>
      <c r="AA112" s="285" t="n"/>
    </row>
    <row r="113" ht="16.5" customFormat="1" customHeight="1" s="15">
      <c r="A113" s="65" t="inlineStr">
        <is>
          <t>27일</t>
        </is>
      </c>
      <c r="B113" s="66" t="n"/>
      <c r="C113" s="241" t="n"/>
      <c r="D113" s="241" t="n"/>
      <c r="E113" s="66" t="n"/>
      <c r="F113" s="241" t="n"/>
      <c r="G113" s="241" t="n"/>
      <c r="H113" s="92" t="n"/>
      <c r="I113" s="241" t="n"/>
      <c r="J113" s="241" t="n"/>
      <c r="K113" s="66" t="n"/>
      <c r="L113" s="241" t="n"/>
      <c r="M113" s="264" t="n"/>
      <c r="N113" s="66" t="n"/>
      <c r="O113" s="284" t="n"/>
      <c r="P113" s="241" t="n"/>
      <c r="Q113" s="103" t="n"/>
      <c r="R113" s="284" t="n"/>
      <c r="S113" s="241" t="n"/>
      <c r="T113" s="66" t="n"/>
      <c r="U113" s="241" t="n"/>
      <c r="V113" s="241" t="n"/>
      <c r="W113" s="66" t="n"/>
      <c r="X113" s="241" t="n"/>
      <c r="Y113" s="241" t="n"/>
      <c r="Z113" s="239" t="n"/>
      <c r="AA113" s="285" t="n"/>
    </row>
    <row r="114" ht="16.5" customFormat="1" customHeight="1" s="15">
      <c r="A114" s="65" t="inlineStr">
        <is>
          <t>28일</t>
        </is>
      </c>
      <c r="B114" s="66" t="n"/>
      <c r="C114" s="241" t="n"/>
      <c r="D114" s="241" t="n"/>
      <c r="E114" s="66" t="n"/>
      <c r="F114" s="241" t="n"/>
      <c r="G114" s="241" t="n"/>
      <c r="H114" s="92" t="n"/>
      <c r="I114" s="241" t="n"/>
      <c r="J114" s="241" t="n"/>
      <c r="K114" s="66" t="n"/>
      <c r="L114" s="241" t="n"/>
      <c r="M114" s="264" t="n"/>
      <c r="N114" s="66" t="n"/>
      <c r="O114" s="284" t="n"/>
      <c r="P114" s="241" t="n"/>
      <c r="Q114" s="103" t="n"/>
      <c r="R114" s="284" t="n"/>
      <c r="S114" s="241" t="n"/>
      <c r="T114" s="66" t="n"/>
      <c r="U114" s="241" t="n"/>
      <c r="V114" s="241" t="n"/>
      <c r="W114" s="66" t="n"/>
      <c r="X114" s="241" t="n"/>
      <c r="Y114" s="241" t="n"/>
      <c r="Z114" s="239" t="n"/>
      <c r="AA114" s="285" t="n"/>
    </row>
    <row r="115" ht="16.5" customFormat="1" customHeight="1" s="15">
      <c r="A115" s="65" t="inlineStr">
        <is>
          <t>29일</t>
        </is>
      </c>
      <c r="B115" s="66" t="n"/>
      <c r="C115" s="241" t="n"/>
      <c r="D115" s="241" t="n"/>
      <c r="E115" s="66" t="n"/>
      <c r="F115" s="241" t="n"/>
      <c r="G115" s="241" t="n"/>
      <c r="H115" s="92" t="n"/>
      <c r="I115" s="241" t="n"/>
      <c r="J115" s="241" t="n"/>
      <c r="K115" s="66" t="n"/>
      <c r="L115" s="241" t="n"/>
      <c r="M115" s="264" t="n"/>
      <c r="N115" s="66" t="n"/>
      <c r="O115" s="284" t="n"/>
      <c r="P115" s="241" t="n"/>
      <c r="Q115" s="103" t="n"/>
      <c r="R115" s="284" t="n"/>
      <c r="S115" s="241" t="n"/>
      <c r="T115" s="66" t="n"/>
      <c r="U115" s="241" t="n"/>
      <c r="V115" s="241" t="n"/>
      <c r="W115" s="66" t="n"/>
      <c r="X115" s="241" t="n"/>
      <c r="Y115" s="241" t="n"/>
      <c r="Z115" s="239" t="n"/>
      <c r="AA115" s="285" t="n"/>
    </row>
    <row r="116" ht="16.5" customFormat="1" customHeight="1" s="15">
      <c r="A116" s="65" t="inlineStr">
        <is>
          <t>30일</t>
        </is>
      </c>
      <c r="B116" s="66" t="n"/>
      <c r="C116" s="241" t="n"/>
      <c r="D116" s="241" t="n"/>
      <c r="E116" s="66" t="n"/>
      <c r="F116" s="241" t="n"/>
      <c r="G116" s="241" t="n"/>
      <c r="H116" s="92" t="n"/>
      <c r="I116" s="241" t="n"/>
      <c r="J116" s="241" t="n"/>
      <c r="K116" s="66" t="n"/>
      <c r="L116" s="241" t="n"/>
      <c r="M116" s="264" t="n"/>
      <c r="N116" s="66" t="n"/>
      <c r="O116" s="284" t="n"/>
      <c r="P116" s="241" t="n"/>
      <c r="Q116" s="103" t="n"/>
      <c r="R116" s="284" t="n"/>
      <c r="S116" s="241" t="n"/>
      <c r="T116" s="66" t="n"/>
      <c r="U116" s="241" t="n"/>
      <c r="V116" s="241" t="n"/>
      <c r="W116" s="66" t="n"/>
      <c r="X116" s="241" t="n"/>
      <c r="Y116" s="241" t="n"/>
      <c r="Z116" s="239" t="n"/>
      <c r="AA116" s="285" t="n"/>
    </row>
    <row r="117" ht="16.5" customFormat="1" customHeight="1" s="15" thickBot="1">
      <c r="A117" s="65" t="inlineStr">
        <is>
          <t>31일</t>
        </is>
      </c>
      <c r="B117" s="66" t="n"/>
      <c r="C117" s="241" t="n"/>
      <c r="D117" s="241" t="n"/>
      <c r="E117" s="66" t="n"/>
      <c r="F117" s="241" t="n"/>
      <c r="G117" s="241" t="n"/>
      <c r="H117" s="92" t="n"/>
      <c r="I117" s="241" t="n"/>
      <c r="J117" s="241" t="n"/>
      <c r="K117" s="66" t="n"/>
      <c r="L117" s="241" t="n"/>
      <c r="M117" s="264" t="n"/>
      <c r="N117" s="66" t="n"/>
      <c r="O117" s="284" t="n"/>
      <c r="P117" s="241" t="n"/>
      <c r="Q117" s="103" t="n"/>
      <c r="R117" s="284" t="n"/>
      <c r="S117" s="241" t="n"/>
      <c r="T117" s="66" t="n"/>
      <c r="U117" s="241" t="n"/>
      <c r="V117" s="241" t="n"/>
      <c r="W117" s="66" t="n"/>
      <c r="X117" s="241" t="n"/>
      <c r="Y117" s="241" t="n"/>
      <c r="Z117" s="239" t="n"/>
      <c r="AA117" s="285" t="n"/>
    </row>
    <row r="118" ht="18" customFormat="1" customHeight="1" s="20" thickTop="1">
      <c r="A118" s="245" t="inlineStr">
        <is>
          <t>계</t>
        </is>
      </c>
      <c r="B118" s="246" t="n"/>
      <c r="C118" s="247">
        <f>SUM(C87:C115)</f>
        <v/>
      </c>
      <c r="D118" s="248">
        <f>MAX(D87:D115)</f>
        <v/>
      </c>
      <c r="E118" s="75" t="inlineStr">
        <is>
          <t xml:space="preserve"> </t>
        </is>
      </c>
      <c r="F118" s="247">
        <f>SUM(F87:F115)</f>
        <v/>
      </c>
      <c r="G118" s="248">
        <f>MAX(G87:G115)</f>
        <v/>
      </c>
      <c r="H118" s="75" t="inlineStr">
        <is>
          <t xml:space="preserve"> </t>
        </is>
      </c>
      <c r="I118" s="247">
        <f>SUM(I87:I115)</f>
        <v/>
      </c>
      <c r="J118" s="248">
        <f>MAX(J87:J115)</f>
        <v/>
      </c>
      <c r="K118" s="75" t="inlineStr">
        <is>
          <t xml:space="preserve"> </t>
        </is>
      </c>
      <c r="L118" s="247">
        <f>SUM(L87:L115)</f>
        <v/>
      </c>
      <c r="M118" s="248">
        <f>MAX(M87:M115)</f>
        <v/>
      </c>
      <c r="N118" s="75" t="n"/>
      <c r="O118" s="248" t="n"/>
      <c r="P118" s="248">
        <f>MAX(P87:P115)</f>
        <v/>
      </c>
      <c r="Q118" s="75" t="n"/>
      <c r="R118" s="248" t="n"/>
      <c r="S118" s="248">
        <f>MAX(S87:S115)</f>
        <v/>
      </c>
      <c r="T118" s="75" t="n"/>
      <c r="U118" s="247">
        <f>SUM(U87:U115)</f>
        <v/>
      </c>
      <c r="V118" s="248">
        <f>MAX(V87:V115)</f>
        <v/>
      </c>
      <c r="W118" s="73" t="n"/>
      <c r="X118" s="247">
        <f>SUM(X86:X115)</f>
        <v/>
      </c>
      <c r="Y118" s="248">
        <f>MAX(Y87:Y115)</f>
        <v/>
      </c>
      <c r="Z118" s="248" t="n"/>
      <c r="AA118" s="268" t="n"/>
    </row>
    <row r="119" ht="18" customFormat="1" customHeight="1" s="20" thickBot="1">
      <c r="A119" s="286" t="inlineStr">
        <is>
          <t>전류 MAX</t>
        </is>
      </c>
      <c r="B119" s="212" t="n"/>
      <c r="C119" s="287">
        <f>C118/31</f>
        <v/>
      </c>
      <c r="D119" s="269">
        <f>MAX(D86:D117)</f>
        <v/>
      </c>
      <c r="E119" s="288" t="inlineStr">
        <is>
          <t xml:space="preserve"> </t>
        </is>
      </c>
      <c r="F119" s="287">
        <f>F118/31</f>
        <v/>
      </c>
      <c r="G119" s="269">
        <f>MAX(G86:G117)</f>
        <v/>
      </c>
      <c r="H119" s="288" t="inlineStr">
        <is>
          <t xml:space="preserve"> </t>
        </is>
      </c>
      <c r="I119" s="287">
        <f>I118/31</f>
        <v/>
      </c>
      <c r="J119" s="269">
        <f>MAX(J86:J117)</f>
        <v/>
      </c>
      <c r="K119" s="288" t="inlineStr">
        <is>
          <t xml:space="preserve"> </t>
        </is>
      </c>
      <c r="L119" s="287">
        <f>L118/31</f>
        <v/>
      </c>
      <c r="M119" s="269">
        <f>MAX(M86:M117)</f>
        <v/>
      </c>
      <c r="N119" s="288" t="n"/>
      <c r="O119" s="289" t="n"/>
      <c r="P119" s="289" t="n"/>
      <c r="Q119" s="288" t="n"/>
      <c r="R119" s="289" t="n"/>
      <c r="S119" s="290" t="n"/>
      <c r="T119" s="288" t="n"/>
      <c r="U119" s="287">
        <f>U118/31</f>
        <v/>
      </c>
      <c r="V119" s="269">
        <f>MAX(V86:V117)</f>
        <v/>
      </c>
      <c r="W119" s="77" t="n"/>
      <c r="X119" s="252">
        <f>X118/31</f>
        <v/>
      </c>
      <c r="Y119" s="269">
        <f>MAX(Y86:Y117)</f>
        <v/>
      </c>
      <c r="Z119" s="289" t="n"/>
      <c r="AA119" s="291" t="n"/>
    </row>
    <row r="120" ht="21" customHeight="1">
      <c r="A120" s="111" t="n"/>
      <c r="B120" s="112" t="n"/>
      <c r="C120" s="292" t="n"/>
      <c r="D120" s="292" t="n"/>
      <c r="E120" s="111" t="n"/>
      <c r="F120" s="292" t="n"/>
      <c r="G120" s="292" t="n"/>
      <c r="H120" s="111" t="n"/>
      <c r="I120" s="292" t="n"/>
      <c r="J120" s="292" t="n"/>
      <c r="K120" s="111" t="n"/>
      <c r="L120" s="292" t="n"/>
      <c r="M120" s="292" t="n"/>
      <c r="N120" s="115" t="n"/>
      <c r="O120" s="115" t="n"/>
      <c r="P120" s="115" t="n"/>
      <c r="Q120" s="115" t="n"/>
      <c r="R120" s="115" t="n"/>
      <c r="S120" s="115" t="n"/>
      <c r="T120" s="115" t="n"/>
      <c r="U120" s="115" t="n"/>
      <c r="V120" s="115" t="n"/>
      <c r="W120" s="115" t="n"/>
      <c r="X120" s="115" t="n"/>
      <c r="Y120" s="115" t="n"/>
      <c r="Z120" s="115" t="n"/>
    </row>
    <row r="121" ht="19.5" customHeight="1">
      <c r="A121" s="118" t="n"/>
      <c r="B121" s="118" t="n"/>
      <c r="C121" s="118" t="n"/>
      <c r="D121" s="118" t="n"/>
      <c r="E121" s="118" t="n"/>
      <c r="F121" s="118" t="n"/>
      <c r="G121" s="118" t="n"/>
      <c r="H121" s="118" t="n"/>
      <c r="I121" s="118" t="n"/>
      <c r="J121" s="118" t="n"/>
      <c r="K121" s="118" t="n"/>
      <c r="L121" s="118" t="n"/>
      <c r="M121" s="118" t="n"/>
      <c r="N121" s="118" t="n"/>
      <c r="O121" s="118" t="n"/>
      <c r="P121" s="118" t="n"/>
      <c r="Q121" s="118" t="n"/>
      <c r="R121" s="118" t="n"/>
      <c r="S121" s="118" t="n"/>
      <c r="T121" s="118" t="n"/>
      <c r="U121" s="118" t="n"/>
      <c r="V121" s="118" t="n"/>
      <c r="W121" s="118" t="n"/>
      <c r="X121" s="118" t="n"/>
      <c r="Y121" s="118" t="n"/>
      <c r="Z121" s="115" t="n"/>
    </row>
    <row r="122">
      <c r="S122" s="117" t="n"/>
      <c r="T122" s="116" t="n"/>
      <c r="U122" s="116" t="n"/>
      <c r="V122" s="116" t="n"/>
      <c r="W122" s="116" t="n"/>
      <c r="X122" s="116" t="n"/>
      <c r="Y122" s="116" t="n"/>
      <c r="Z122" s="116" t="n"/>
      <c r="AA122" s="116" t="n"/>
      <c r="AB122" s="116" t="n"/>
      <c r="AC122" s="116" t="n"/>
      <c r="AD122" s="35" t="n"/>
      <c r="AE122" s="35" t="n"/>
    </row>
    <row r="123">
      <c r="S123" s="117" t="n"/>
      <c r="T123" s="116" t="n"/>
      <c r="U123" s="116" t="n"/>
      <c r="V123" s="116" t="n"/>
      <c r="W123" s="116" t="n"/>
      <c r="X123" s="116" t="n"/>
      <c r="Y123" s="116" t="n"/>
      <c r="Z123" s="116" t="n"/>
      <c r="AA123" s="116" t="n"/>
      <c r="AB123" s="116" t="n"/>
      <c r="AC123" s="116" t="n"/>
      <c r="AD123" s="35" t="n"/>
      <c r="AE123" s="35" t="n"/>
    </row>
    <row r="124">
      <c r="S124" s="117" t="n"/>
      <c r="T124" s="116" t="n"/>
      <c r="U124" s="116" t="n"/>
      <c r="V124" s="116" t="n"/>
      <c r="W124" s="116" t="n"/>
      <c r="X124" s="116" t="n"/>
      <c r="Y124" s="116" t="n"/>
      <c r="Z124" s="116" t="n"/>
      <c r="AA124" s="116" t="n"/>
      <c r="AB124" s="116" t="n"/>
      <c r="AC124" s="116" t="n"/>
      <c r="AD124" s="35" t="n"/>
      <c r="AE124" s="35" t="n"/>
    </row>
    <row r="125">
      <c r="S125" s="117" t="n"/>
      <c r="T125" s="116" t="n"/>
      <c r="U125" s="116" t="n"/>
      <c r="V125" s="116" t="n"/>
      <c r="W125" s="116" t="n"/>
      <c r="X125" s="116" t="n"/>
      <c r="Y125" s="116" t="n"/>
      <c r="Z125" s="116" t="n"/>
      <c r="AA125" s="116" t="n"/>
      <c r="AB125" s="116" t="n"/>
      <c r="AC125" s="116" t="n"/>
      <c r="AD125" s="35" t="n"/>
      <c r="AE125" s="35" t="n"/>
    </row>
  </sheetData>
  <mergeCells count="12">
    <mergeCell ref="A44:A46"/>
    <mergeCell ref="A83:A85"/>
    <mergeCell ref="W84:Y84"/>
    <mergeCell ref="A41:B41"/>
    <mergeCell ref="T84:V84"/>
    <mergeCell ref="A1:AA4"/>
    <mergeCell ref="A5:A7"/>
    <mergeCell ref="A119:B119"/>
    <mergeCell ref="A80:B80"/>
    <mergeCell ref="A40:B40"/>
    <mergeCell ref="A118:B118"/>
    <mergeCell ref="A79:B79"/>
  </mergeCells>
  <pageMargins left="0.3543307086614174" right="0.2755905511811024" top="0.4724409448818898" bottom="0.3937007874015748" header="0.3937007874015748" footer="0.5118110236220472"/>
  <pageSetup orientation="landscape" paperSize="9" scale="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poscowide</dc:creator>
  <dcterms:created xmlns:dcterms="http://purl.org/dc/terms/" xmlns:xsi="http://www.w3.org/2001/XMLSchema-instance" xsi:type="dcterms:W3CDTF">2026-04-03T07:05:58Z</dcterms:created>
  <dcterms:modified xmlns:dcterms="http://purl.org/dc/terms/" xmlns:xsi="http://www.w3.org/2001/XMLSchema-instance" xsi:type="dcterms:W3CDTF">2026-08-31T00:56:33Z</dcterms:modified>
  <cp:lastModifiedBy>홍기룡</cp:lastModifiedBy>
</cp:coreProperties>
</file>

<file path=docProps/custom.xml><?xml version="1.0" encoding="utf-8"?>
<Properties xmlns="http://schemas.openxmlformats.org/officeDocument/2006/custom-properties">
  <property name="Fasoo_Trace_ID" fmtid="{D5CDD505-2E9C-101B-9397-08002B2CF9AE}" pid="2">
    <vt:lpwstr xmlns:vt="http://schemas.openxmlformats.org/officeDocument/2006/docPropsVTypes">eyJub2RlMSI6eyJkc2QiOiIwMDAwMDAwMDAwMDAwMDAwIiwibG9nVGltZSI6IjIwMjYtMDgtMzBUMDE6MjY6MzRaIiwicElEIjoyMDQ4LCJwcm9jZXNzSWQiOjIzOTQwLCJwcm9jZXNzTmFtZSI6IkVYQ0VMLkVYRSIsInRyYWNlSWQiOiJCNkJGODA2OTdBOEU0ODE1OTY4QUIzNkFGOUQwM0M2QSIsInVzZXJDb2RlIjoiaGtyMDA4In0sIm5vZGUyIjp7ImRzZCI6IjAxMDAwMDAwMDAwMDI0MjUiLCJsb2dUaW1lIjoiMjAyNi0wOC0zMFQwMjowMTowNloiLCJwSUQiOjEsInByb2Nlc3NJZCI6MjM5NDAsInByb2Nlc3NOYW1lIjoiRVhDRUwuRVhFIiwidHJhY2VJZCI6IjY4MkVBQ0REQkNGMTQzNURCNTZCRjcwNTg5MjA1NzBDIiwidXNlckNvZGUiOiJoa3IwMDgifSwibm9kZTMiOnsiZHNkIjoiMDAwMDAwMDAwMDAwMDAwMCIsImxvZ1RpbWUiOiIyMDI2LTA4LTMwVDAyOjAxOjE1WiIsInBJRCI6MjA0OCwicHJvY2Vzc0lkIjoyMzk0MCwicHJvY2Vzc05hbWUiOiJFWENFTC5FWEUiLCJ0cmFjZUlkIjoiMkMyRTBCNkY3RjY3NDI4Nzk5RkFDMzlGMUNCRDdCNDMiLCJ1c2VyQ29kZSI6ImhrcjAwOCJ9LCJub2RlNCI6eyJkc2QiOiIwMTAwMDAwMDAwMDAyNDI1IiwibG9nVGltZSI6IjIwMjYtMDgtMzBUMDI6MDM6MTZaIiwicElEIjoxLCJwcm9jZXNzSWQiOjIzOTQwLCJwcm9jZXNzTmFtZSI6IkVYQ0VMLkVYRSIsInRyYWNlSWQiOiIzOEI1NTY1MDYzQjU0NjRBODNFMkQ5ODBEMjM1MjdBNCIsInVzZXJDb2RlIjoiaGtyMDA4In0sIm5vZGU1Ijp7ImRzZCI6IjAwMDAwMDAwMDAwMDAwMDAiLCJsb2dUaW1lIjoiMjAyNi0wOC0zMFQwMjoxMzoxNVoiLCJwSUQiOjIwNDgsInByb2Nlc3NJZCI6MTU0MDAsInByb2Nlc3NOYW1lIjoiRVhDRUwuRVhFIiwidHJhY2VJZCI6IkNDRjMzMThCQThDQjRBREJBQTY3NzVERTI4QTA0N0I4IiwidXNlckNvZGUiOiJoa3IwMDgifSwibm9kZUNvdW50IjoxMSwicm9vdFRyYWNlSWQiOiIzRjk3QkU0NEM3Qzk0MEI2OEVCNEU3RThDRDBENjc2OCJ9</vt:lpwstr>
  </property>
</Properties>
</file>